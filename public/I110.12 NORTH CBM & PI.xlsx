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nucintosh/evoM1 Projects/ROKOJOB ♻️/ORDERS ⭕️/I110.11 SOUTH/LOADING STATUS/"/>
    </mc:Choice>
  </mc:AlternateContent>
  <xr:revisionPtr revIDLastSave="0" documentId="13_ncr:1_{5E5955D2-3569-0844-A1F4-A0B177A8152F}" xr6:coauthVersionLast="47" xr6:coauthVersionMax="47" xr10:uidLastSave="{00000000-0000-0000-0000-000000000000}"/>
  <bookViews>
    <workbookView xWindow="3680" yWindow="2980" windowWidth="26240" windowHeight="16360" xr2:uid="{00000000-000D-0000-FFFF-FFFF00000000}"/>
  </bookViews>
  <sheets>
    <sheet name="I110.12 NORTH" sheetId="1" r:id="rId1"/>
    <sheet name="Suppliers_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3" i="1"/>
  <c r="N7" i="1"/>
  <c r="N9" i="1" s="1"/>
  <c r="N6" i="1"/>
  <c r="N8" i="1" l="1"/>
  <c r="N5" i="1"/>
  <c r="N4" i="1"/>
  <c r="N3" i="1"/>
  <c r="N2" i="1"/>
  <c r="B12" i="1"/>
  <c r="B11" i="1"/>
  <c r="B10" i="1"/>
</calcChain>
</file>

<file path=xl/sharedStrings.xml><?xml version="1.0" encoding="utf-8"?>
<sst xmlns="http://schemas.openxmlformats.org/spreadsheetml/2006/main" count="1534" uniqueCount="1015">
  <si>
    <t>Reference Code</t>
  </si>
  <si>
    <t>Supplier</t>
  </si>
  <si>
    <t>CBM</t>
  </si>
  <si>
    <t>Cartons</t>
  </si>
  <si>
    <t>Gross Weight</t>
  </si>
  <si>
    <t>Product Cost</t>
  </si>
  <si>
    <t>Freight Cost</t>
  </si>
  <si>
    <t>Awaiting</t>
  </si>
  <si>
    <t>Production Days</t>
  </si>
  <si>
    <t>Production Ready</t>
  </si>
  <si>
    <t>Status</t>
  </si>
  <si>
    <t>Client</t>
  </si>
  <si>
    <t>I271</t>
  </si>
  <si>
    <t>I271 WEIOU FURNITURE</t>
  </si>
  <si>
    <t/>
  </si>
  <si>
    <t>I272</t>
  </si>
  <si>
    <t>I272 NUOYIEA MIRRORS</t>
  </si>
  <si>
    <t>I273</t>
  </si>
  <si>
    <t>I273 YINUO TEXTILES</t>
  </si>
  <si>
    <t>I278</t>
  </si>
  <si>
    <t>I278 WEICHAI DIESEL GENERATORS</t>
  </si>
  <si>
    <t>I249</t>
  </si>
  <si>
    <t>I249 RAZOR FENCE</t>
  </si>
  <si>
    <t>Total CBM:</t>
  </si>
  <si>
    <t>Total Cost:</t>
  </si>
  <si>
    <t>CBM Ready to Ship:</t>
  </si>
  <si>
    <t>Deposit</t>
  </si>
  <si>
    <t>Remaining</t>
  </si>
  <si>
    <t>Address</t>
  </si>
  <si>
    <t>ReferenceCode</t>
  </si>
  <si>
    <t xml:space="preserve">Product </t>
  </si>
  <si>
    <t>CountryRegion</t>
  </si>
  <si>
    <t>ProvinceState</t>
  </si>
  <si>
    <t>PORT</t>
  </si>
  <si>
    <t>ContactPerson</t>
  </si>
  <si>
    <t>e-mail</t>
  </si>
  <si>
    <t>ContactNumber</t>
  </si>
  <si>
    <t>website</t>
  </si>
  <si>
    <t>Active</t>
  </si>
  <si>
    <t>Comments</t>
  </si>
  <si>
    <t>I11</t>
  </si>
  <si>
    <t>HEFEI  WINOLAZ  COOKWARE  CO.LTD</t>
  </si>
  <si>
    <t>Cutlery</t>
  </si>
  <si>
    <t>China</t>
  </si>
  <si>
    <t>Guandong</t>
  </si>
  <si>
    <t>Vivi</t>
  </si>
  <si>
    <t>nolaz@winolaz.com win@winolaz.com</t>
  </si>
  <si>
    <t>tel: +86 187 5608 9794 tel2: 0086 551 64318525</t>
  </si>
  <si>
    <t>YES</t>
  </si>
  <si>
    <t>I30.4</t>
  </si>
  <si>
    <t>NASA IMPORT&amp;EXPORT CO.,LTD</t>
  </si>
  <si>
    <t>Decorative Items</t>
  </si>
  <si>
    <t>Yiui</t>
  </si>
  <si>
    <t>Siyin</t>
  </si>
  <si>
    <t>benaouf-liu@hotmail.com</t>
  </si>
  <si>
    <t>I48</t>
  </si>
  <si>
    <t>Lazy Life Paris PRC</t>
  </si>
  <si>
    <t>Pouf &amp; Fabric</t>
  </si>
  <si>
    <t>Guangzhou</t>
  </si>
  <si>
    <t>Coco_x000D_
Ellen_x000D_
Dylan</t>
  </si>
  <si>
    <t xml:space="preserve">coco@lazylifeparisprc.com_x000D_
salese@gzfenlin.com.cn_x000D_
</t>
  </si>
  <si>
    <t>_x000C_O +86 757 8880 9945   C +86 185 7833 2317   QQ: 2869397643</t>
  </si>
  <si>
    <t>www.lazylifeparis.com</t>
  </si>
  <si>
    <t>I59</t>
  </si>
  <si>
    <t>Zhongshan Fitman Lighting Factory</t>
  </si>
  <si>
    <t>Fitman Lights</t>
  </si>
  <si>
    <t>Guangdong</t>
  </si>
  <si>
    <t>SHENZHEN</t>
  </si>
  <si>
    <t>Gabe</t>
  </si>
  <si>
    <t>sales02@fitmanled.com fitmanlighting@fitmanled.com</t>
  </si>
  <si>
    <t>phone: +86 15914600908 +86 76089859757</t>
  </si>
  <si>
    <t>https://www.fitmanlighting.com/ https://en.fitmanled.com https://fitmanlighting.en.alibaba.com/</t>
  </si>
  <si>
    <t>No.15, 5 Street Cao'an South Road, Jundusha Industrial Park, Guzhen, Zhongshan, Guangdong</t>
  </si>
  <si>
    <t>I99</t>
  </si>
  <si>
    <t>JOYYE ARTS &amp; CRAFTS CO., LTD</t>
  </si>
  <si>
    <t>Tableware</t>
  </si>
  <si>
    <t>Jassica</t>
  </si>
  <si>
    <t xml:space="preserve">joyye31@joyye.com  </t>
  </si>
  <si>
    <t xml:space="preserve">Tel:+86-20-38293033-890   </t>
  </si>
  <si>
    <t>https://joyye.com/</t>
  </si>
  <si>
    <t>I101</t>
  </si>
  <si>
    <t>Guangzhou Zhengku Amusement Equipment Co., Ltd.</t>
  </si>
  <si>
    <t>Puddle Boards</t>
  </si>
  <si>
    <t>I102</t>
  </si>
  <si>
    <t>SHINEWORLD INNOVATIONS LIMITED</t>
  </si>
  <si>
    <t>TV</t>
  </si>
  <si>
    <t>I103</t>
  </si>
  <si>
    <t xml:space="preserve">Shenzhen Daywons Technology </t>
  </si>
  <si>
    <t>Irrigation SPIKES</t>
  </si>
  <si>
    <t>Shenzhen</t>
  </si>
  <si>
    <t>I104</t>
  </si>
  <si>
    <t>General Electronics Technology (Shenzhen) Co., Ltd.</t>
  </si>
  <si>
    <t>IP Cameras</t>
  </si>
  <si>
    <t>Aimee Xu</t>
  </si>
  <si>
    <t>aimee@getechnology.cn</t>
  </si>
  <si>
    <t>I105</t>
  </si>
  <si>
    <t>Donguan Swift Non-woven Products Co.,Ltd.</t>
  </si>
  <si>
    <t>Plant's Grow Bag</t>
  </si>
  <si>
    <t>I106</t>
  </si>
  <si>
    <t>DONGYING XINXING MARINE EQUIPMENT  MANUFACTURE CO.,LTD</t>
  </si>
  <si>
    <t>Marine equipment</t>
  </si>
  <si>
    <t>Dongying</t>
  </si>
  <si>
    <t>I107</t>
  </si>
  <si>
    <t>1stshine Industrial Company Limited</t>
  </si>
  <si>
    <t>Ceiling Fans</t>
  </si>
  <si>
    <t>Jay _x000D_
Katherine</t>
  </si>
  <si>
    <t>expta@1stcupid.com_x000D_
mktg6@1stshine.com</t>
  </si>
  <si>
    <t>tel +8618126314926</t>
  </si>
  <si>
    <t>http://www.1stshine.com</t>
  </si>
  <si>
    <t>I108</t>
  </si>
  <si>
    <t>Wuhan Tigerspring Trade Co</t>
  </si>
  <si>
    <t>Tent Safari</t>
  </si>
  <si>
    <t>Hubei</t>
  </si>
  <si>
    <t>I109</t>
  </si>
  <si>
    <t>LS Vision</t>
  </si>
  <si>
    <t>cameras+PV</t>
  </si>
  <si>
    <t>I110</t>
  </si>
  <si>
    <t>Unitex Int'l Forwarding</t>
  </si>
  <si>
    <t>Cargo</t>
  </si>
  <si>
    <t>Guanzhou</t>
  </si>
  <si>
    <t>I111</t>
  </si>
  <si>
    <t>NINGBO HUNTOP HOLDINGS CO</t>
  </si>
  <si>
    <t>Digital Water Timer</t>
  </si>
  <si>
    <t>Ningbo</t>
  </si>
  <si>
    <t>James</t>
  </si>
  <si>
    <t>sales3@htcn.com</t>
  </si>
  <si>
    <t>I112</t>
  </si>
  <si>
    <t>Shandong HYRT Water-Saving Irrigation Co.</t>
  </si>
  <si>
    <t>Irrigation</t>
  </si>
  <si>
    <t>Shandong</t>
  </si>
  <si>
    <t xml:space="preserve">Monica Liu_x000D_
</t>
  </si>
  <si>
    <t>monicaliu@lwhyrt.com</t>
  </si>
  <si>
    <t>+86 13305411156</t>
  </si>
  <si>
    <t>I113</t>
  </si>
  <si>
    <t>Shenzhen Heiman Technology Co., Ltd</t>
  </si>
  <si>
    <t>Smoke detectors</t>
  </si>
  <si>
    <t>Jessie Zhang</t>
  </si>
  <si>
    <t>sales02@heiman.com.cn</t>
  </si>
  <si>
    <t>I114</t>
  </si>
  <si>
    <t>Lisheng</t>
  </si>
  <si>
    <t>Safety Shoes</t>
  </si>
  <si>
    <t>NO</t>
  </si>
  <si>
    <t>I115</t>
  </si>
  <si>
    <t>STARLIGHTS INTERNATIONAL LIMITED</t>
  </si>
  <si>
    <t>T-shirts </t>
  </si>
  <si>
    <t>Xiamen</t>
  </si>
  <si>
    <t>I116</t>
  </si>
  <si>
    <t>Nicety Stainless Steel</t>
  </si>
  <si>
    <t>Lunch box</t>
  </si>
  <si>
    <t>I117</t>
  </si>
  <si>
    <t>HANGZHOU CLEAR CLEANING PRODUCTS CO., LTD.</t>
  </si>
  <si>
    <t>Cleaning cloths</t>
  </si>
  <si>
    <t>Zhejiang</t>
  </si>
  <si>
    <t>I118</t>
  </si>
  <si>
    <t xml:space="preserve"> Chenrun Felt Products </t>
  </si>
  <si>
    <t>Felt Pots</t>
  </si>
  <si>
    <t>Weixian</t>
  </si>
  <si>
    <t>I119</t>
  </si>
  <si>
    <t xml:space="preserve">Shenzhen Hongguan Mechatronics Co., Ltd._x000D_
</t>
  </si>
  <si>
    <t>Bathroom Exhaust Ventilation Fan</t>
  </si>
  <si>
    <t>I120</t>
  </si>
  <si>
    <t>SHAO XING KE QIAO JIU SHENG IMPORT&amp;EXPORT.,LTD</t>
  </si>
  <si>
    <t>Fabrics</t>
  </si>
  <si>
    <t>Jason</t>
  </si>
  <si>
    <t>925424022@qq.com</t>
  </si>
  <si>
    <t xml:space="preserve"> +86 18106818675</t>
  </si>
  <si>
    <t>I121</t>
  </si>
  <si>
    <t>FeiXian HaiYue Plastic Packing CO., LTD</t>
  </si>
  <si>
    <t>PP WOVEN GEOTEXTILE</t>
  </si>
  <si>
    <t>I122</t>
  </si>
  <si>
    <t>Foshan Home Show Building Materials Company Limited</t>
  </si>
  <si>
    <t>Faucets</t>
  </si>
  <si>
    <t>Sissa/Dean</t>
  </si>
  <si>
    <t>exp1@homeshow.cc  dean@homeshow.cc</t>
  </si>
  <si>
    <t>I123</t>
  </si>
  <si>
    <t>Guangdong Zhongpai Industrial Development</t>
  </si>
  <si>
    <t>Fan wooden</t>
  </si>
  <si>
    <t>I124</t>
  </si>
  <si>
    <t>Sunda Hardware Produce Co.Limited</t>
  </si>
  <si>
    <t>Door Stops</t>
  </si>
  <si>
    <t xml:space="preserve">Eric Kwan_x000D_
</t>
  </si>
  <si>
    <t>sundahardware@126.com</t>
  </si>
  <si>
    <t>T:+86-758-2910323 / F:+86-758-2910263   _x000D_
Mobile:+86-13560933323</t>
  </si>
  <si>
    <t>I125</t>
  </si>
  <si>
    <t>Heshan City Haima Furniture Co., Ltd.</t>
  </si>
  <si>
    <t>Mattress</t>
  </si>
  <si>
    <t>Tracy Yi</t>
  </si>
  <si>
    <t xml:space="preserve"> tracy.yi@haima.hk</t>
  </si>
  <si>
    <t>I126</t>
  </si>
  <si>
    <t>NINGBO LAKE SEA HARRDWARE CO.,LTD</t>
  </si>
  <si>
    <t xml:space="preserve">PULL HANDLES OUTDOOR DOORS </t>
  </si>
  <si>
    <t>Yuki Tang</t>
  </si>
  <si>
    <t xml:space="preserve">yuki@zjcasting.com </t>
  </si>
  <si>
    <t>I127</t>
  </si>
  <si>
    <t>ZHONG SHAN VICCN LIGHTING CO.,LTD</t>
  </si>
  <si>
    <t>Pendant lights</t>
  </si>
  <si>
    <t>Alisa</t>
  </si>
  <si>
    <t>Alisa@viccn. cn</t>
  </si>
  <si>
    <t>I128</t>
  </si>
  <si>
    <t>Zhejiang Yige technology Co</t>
  </si>
  <si>
    <t>Door Handles</t>
  </si>
  <si>
    <t>Wenzhou</t>
  </si>
  <si>
    <t>Karry Dai</t>
  </si>
  <si>
    <t>yige_sale06@zjyige.com</t>
  </si>
  <si>
    <t>I129</t>
  </si>
  <si>
    <t>Guangzhou Always Swimming Pool Equipment Co</t>
  </si>
  <si>
    <t>POOL EQUIPMENT</t>
  </si>
  <si>
    <t>I130</t>
  </si>
  <si>
    <t>ZHONGSHAN KENIER LIGHTING CO., LTD</t>
  </si>
  <si>
    <t>Decorative Lights</t>
  </si>
  <si>
    <t>Davy Lee</t>
  </si>
  <si>
    <t>davylee@vip.126.com</t>
  </si>
  <si>
    <t>I131</t>
  </si>
  <si>
    <t>NANNING BOYIN INDUSTRY &amp;TRADING CO., LTD</t>
  </si>
  <si>
    <t>Hangers</t>
  </si>
  <si>
    <t>Guangxi</t>
  </si>
  <si>
    <t>Vicky Shi</t>
  </si>
  <si>
    <t>boyin-vicky@boyinhangers.com</t>
  </si>
  <si>
    <t>I132</t>
  </si>
  <si>
    <t>SHANDONGCHANTAWOODCO.,LTD</t>
  </si>
  <si>
    <t>OSB Panels</t>
  </si>
  <si>
    <t>Romee</t>
  </si>
  <si>
    <t>sales7@chantawood.com</t>
  </si>
  <si>
    <t>I133</t>
  </si>
  <si>
    <t>Jiangmen Speed Stainless Steel Product Co., Ltd.</t>
  </si>
  <si>
    <t>Sinks</t>
  </si>
  <si>
    <t>Nicola</t>
  </si>
  <si>
    <t xml:space="preserve"> nicola@speedsink.com victor@speedsink.com </t>
  </si>
  <si>
    <t>I134</t>
  </si>
  <si>
    <t>Ningbo Elmak Electrical Co., Ltd.</t>
  </si>
  <si>
    <t>Bella Fu</t>
  </si>
  <si>
    <t xml:space="preserve"> sales12@elmakelectrical.com</t>
  </si>
  <si>
    <t>I135</t>
  </si>
  <si>
    <t>Jiangmen Seu Technology Co.,ltd.</t>
  </si>
  <si>
    <t>Sanitary</t>
  </si>
  <si>
    <t>Shuikou Town</t>
  </si>
  <si>
    <t>Bella Ho</t>
  </si>
  <si>
    <t>sales2@seufaucet.com</t>
  </si>
  <si>
    <t>I136</t>
  </si>
  <si>
    <t>Shenzhen Qihan Industry Material Co., Ltd.</t>
  </si>
  <si>
    <t>Masking tapes</t>
  </si>
  <si>
    <t>Shenzhen City</t>
  </si>
  <si>
    <t>Rich Zhou</t>
  </si>
  <si>
    <t>z18823406610@163.com</t>
  </si>
  <si>
    <t>I137</t>
  </si>
  <si>
    <t>Zhengzhou Huifa Machinery co., LTD</t>
  </si>
  <si>
    <t>Greenhouse</t>
  </si>
  <si>
    <t>Henan</t>
  </si>
  <si>
    <t>Flora</t>
  </si>
  <si>
    <t>hfmachinery6@zzhfmachinery.com</t>
  </si>
  <si>
    <t>I138</t>
  </si>
  <si>
    <t>HONEYSON ZHONGSHAN CITY HESON ELECTRIC CO.,LTD.</t>
  </si>
  <si>
    <t>Mini bars, kettles, iron, safe</t>
  </si>
  <si>
    <t>Zhongshan</t>
  </si>
  <si>
    <t>sales07@honeyson.cn</t>
  </si>
  <si>
    <t>I139</t>
  </si>
  <si>
    <t>Shenzhen Einshare Technology Co., Ltd.</t>
  </si>
  <si>
    <t>Robot Vacuum Cleaner</t>
  </si>
  <si>
    <t>Tina Tang</t>
  </si>
  <si>
    <t>tina@einshare.com</t>
  </si>
  <si>
    <t>I140</t>
  </si>
  <si>
    <t>Tai’an Zhongcheng Weiye Geotechnical Materials Co., Ltd.</t>
  </si>
  <si>
    <t>Geotextile &amp; Drain Board</t>
  </si>
  <si>
    <t>Kristine</t>
  </si>
  <si>
    <t>tazcwykristine@aliyun.com</t>
  </si>
  <si>
    <t>I141</t>
  </si>
  <si>
    <t>Fujian Yete Industry Co., Ltd.</t>
  </si>
  <si>
    <t>Recessed Manhole Covers</t>
  </si>
  <si>
    <t>Fujian</t>
  </si>
  <si>
    <t>Bill Kong</t>
  </si>
  <si>
    <t>kew@yeteind.com yeteind@gmail.com</t>
  </si>
  <si>
    <t>I142</t>
  </si>
  <si>
    <t>Anji ZhengYuan WPC Decoration Material Co., Ltd.</t>
  </si>
  <si>
    <t>WPC Sample</t>
  </si>
  <si>
    <t>Reed</t>
  </si>
  <si>
    <t>Reed@zjwpc.com</t>
  </si>
  <si>
    <t>I143</t>
  </si>
  <si>
    <t>Shandong Storike Engineering Machinery Co., Ltd.</t>
  </si>
  <si>
    <t>Plate Compactor &amp; Concrete Mixer</t>
  </si>
  <si>
    <t>Edward Gao</t>
  </si>
  <si>
    <t>edward.gao@storike.com</t>
  </si>
  <si>
    <t>I144</t>
  </si>
  <si>
    <t>FUZHOU TOPQ CERAMIC TECH CO.,LTD</t>
  </si>
  <si>
    <t>Kamado Egg</t>
  </si>
  <si>
    <t>Silvia</t>
  </si>
  <si>
    <t>silvia@topqgrill.com</t>
  </si>
  <si>
    <t>I145</t>
  </si>
  <si>
    <t>Hebei Jinshi Industrial Metal Co., Ltd.</t>
  </si>
  <si>
    <t>Gabion Basker</t>
  </si>
  <si>
    <t>Hebei</t>
  </si>
  <si>
    <t>Faye</t>
  </si>
  <si>
    <t>metal@wiremeshsupplier.com</t>
  </si>
  <si>
    <t>I146</t>
  </si>
  <si>
    <t>Yongkang Powertec Import &amp; Export Co., Ltd.</t>
  </si>
  <si>
    <t>Power tools</t>
  </si>
  <si>
    <t>Anna</t>
  </si>
  <si>
    <t>anna@mpt-tools.com</t>
  </si>
  <si>
    <t>I147</t>
  </si>
  <si>
    <t>SICHUAN ONERED ADVERTISEMENT CO., LTD.</t>
  </si>
  <si>
    <t>Metal Numbers</t>
  </si>
  <si>
    <t>Sichuan</t>
  </si>
  <si>
    <t>Tommy</t>
  </si>
  <si>
    <t>tommy.su0723@gmail.com</t>
  </si>
  <si>
    <t>I148</t>
  </si>
  <si>
    <t>GUANGZHOU FENLIN SWIMMING POOL&amp;SAUNA EQUIPMENT</t>
  </si>
  <si>
    <t>Swimming Ladders</t>
  </si>
  <si>
    <t>Dylan</t>
  </si>
  <si>
    <t>salese@gzfenlin.com.cn</t>
  </si>
  <si>
    <t>I149</t>
  </si>
  <si>
    <t>NINGBO MONDEWAY SANITARY WARE CO.,LIMITED</t>
  </si>
  <si>
    <t>Linear Shower Drain</t>
  </si>
  <si>
    <t>Corinne</t>
  </si>
  <si>
    <t xml:space="preserve">sales5@mondeway.com </t>
  </si>
  <si>
    <t>I150</t>
  </si>
  <si>
    <t>Youngsun Group Limited</t>
  </si>
  <si>
    <t>Bamboo</t>
  </si>
  <si>
    <t>Nicole</t>
  </si>
  <si>
    <t>gardening@waterreed.net</t>
  </si>
  <si>
    <t>I151</t>
  </si>
  <si>
    <t>LITUO INTERNATIONAL DEVELOPMENT CO., LIMITED</t>
  </si>
  <si>
    <t>Concrete Nails</t>
  </si>
  <si>
    <t>Tianjin</t>
  </si>
  <si>
    <t>Oksana</t>
  </si>
  <si>
    <t>sale1@tjlituo.com</t>
  </si>
  <si>
    <t>I152</t>
  </si>
  <si>
    <t>Ledora Lighting Co., Ltd</t>
  </si>
  <si>
    <t>E27 Holder &amp; Rosette</t>
  </si>
  <si>
    <t>Katie</t>
  </si>
  <si>
    <t>katie@ledora-led.com</t>
  </si>
  <si>
    <t>I153</t>
  </si>
  <si>
    <t>Shenzhen Greentech Co., Ltd.</t>
  </si>
  <si>
    <t>Door Bells</t>
  </si>
  <si>
    <t>Lanncy</t>
  </si>
  <si>
    <t>lanncy@greentech-cn.com</t>
  </si>
  <si>
    <t>I154</t>
  </si>
  <si>
    <t>Guangzhou DSPPA Audio Co., Ltd.</t>
  </si>
  <si>
    <t>Outdoor Speakers</t>
  </si>
  <si>
    <t>Abby Zhao</t>
  </si>
  <si>
    <t>dspaudio@dsppa.com sales8@dsppa.com williamwong@dsppa.com</t>
  </si>
  <si>
    <t>I155</t>
  </si>
  <si>
    <t>Shenzhen VLUX Optoelectronics Co.,Ltd</t>
  </si>
  <si>
    <t>Solar Bulbs</t>
  </si>
  <si>
    <t>Shenzen</t>
  </si>
  <si>
    <t>Diana Zhang</t>
  </si>
  <si>
    <t>sales@vluxlighting.com</t>
  </si>
  <si>
    <t>I156</t>
  </si>
  <si>
    <t>Shandong Wanjia Fitness Equipment Co., Ltd.</t>
  </si>
  <si>
    <t>Gym Equipment</t>
  </si>
  <si>
    <t>Eva</t>
  </si>
  <si>
    <t>sale@wanjiafitness.com</t>
  </si>
  <si>
    <t>I157</t>
  </si>
  <si>
    <t>Foshan Shiguang FurnitureCo.,Ltd</t>
  </si>
  <si>
    <t>Daybeds Cocoon</t>
  </si>
  <si>
    <t>Foshan</t>
  </si>
  <si>
    <t>Yoyo</t>
  </si>
  <si>
    <t>pikywang@sg-furniture.cn</t>
  </si>
  <si>
    <t>I158</t>
  </si>
  <si>
    <t>Metrube Plastic&amp;Hardware Products Co.,Ltd</t>
  </si>
  <si>
    <t>Kitchen Cupboard Bin</t>
  </si>
  <si>
    <t>Sandra Chen</t>
  </si>
  <si>
    <t>sales04@metrube.com</t>
  </si>
  <si>
    <t>I159</t>
  </si>
  <si>
    <t>Yongkang Sippon Electric Co., Ltd.</t>
  </si>
  <si>
    <t>Wet&amp;Dry Vacuum Cleaners</t>
  </si>
  <si>
    <t>Yongkang</t>
  </si>
  <si>
    <t>Kasper Chen</t>
  </si>
  <si>
    <t>sales10@sippon.com</t>
  </si>
  <si>
    <t>I160</t>
  </si>
  <si>
    <t>Zhejiang Lodan Lighting Equipment Co.,Ltd</t>
  </si>
  <si>
    <t>Edison Bulbs</t>
  </si>
  <si>
    <t>Leo Lu</t>
  </si>
  <si>
    <t>leo@lodan-lighting.com</t>
  </si>
  <si>
    <t>I161</t>
  </si>
  <si>
    <t>Yangzhou Henglong Photoelectric New Energy Co., Ltd.</t>
  </si>
  <si>
    <t>Solar Panels &amp; Mounting Brackets</t>
  </si>
  <si>
    <t>Jiangsu</t>
  </si>
  <si>
    <t>Kven Wu</t>
  </si>
  <si>
    <t>1123006790@qq.com</t>
  </si>
  <si>
    <t>I162</t>
  </si>
  <si>
    <t>ZHONGSHAN LORE LIGHTING TECHNOLOGY CO.LTD</t>
  </si>
  <si>
    <t>Lights</t>
  </si>
  <si>
    <t>Tina Wu</t>
  </si>
  <si>
    <t>amy@lore-tech.com</t>
  </si>
  <si>
    <t>I163</t>
  </si>
  <si>
    <t>Hemera (Tianjin) Technology Development Limited</t>
  </si>
  <si>
    <t>Kitchenware</t>
  </si>
  <si>
    <t>Megan, Dawson, Gavin</t>
  </si>
  <si>
    <t>megan@hemera.ltd, dawson@hemeraglass.com, gavin@hemera.ltd</t>
  </si>
  <si>
    <t>I164</t>
  </si>
  <si>
    <t>Guangzhou Autorail Electric Co., Ltd.</t>
  </si>
  <si>
    <t>Smart Curtain Rails</t>
  </si>
  <si>
    <t>Bella Huang</t>
  </si>
  <si>
    <t>bella@autorail.net</t>
  </si>
  <si>
    <t>I165</t>
  </si>
  <si>
    <t>Jiangmen Mega Casa Co., Ltd.</t>
  </si>
  <si>
    <t>Shower Column</t>
  </si>
  <si>
    <t xml:space="preserve">Jiangmen </t>
  </si>
  <si>
    <t xml:space="preserve">Davina Xiao   _x000D_
</t>
  </si>
  <si>
    <t xml:space="preserve">davina@inoxbath.com_x000D_
</t>
  </si>
  <si>
    <t>+86 188 2616 9861</t>
  </si>
  <si>
    <t>I166</t>
  </si>
  <si>
    <t>Changzhou Itc Power Equipment Manufacturing Co., Ltd.</t>
  </si>
  <si>
    <t>Diesel Generator</t>
  </si>
  <si>
    <t>Serina Xu</t>
  </si>
  <si>
    <t>itc009@itcpowerworld.com</t>
  </si>
  <si>
    <t>I167</t>
  </si>
  <si>
    <t>Chisung Intelligence Technology (Shenzhen) Co., Limited</t>
  </si>
  <si>
    <t>Sliding Gate Opener</t>
  </si>
  <si>
    <t>Clinton Zhang</t>
  </si>
  <si>
    <t>chisung01@chisung.com.cn</t>
  </si>
  <si>
    <t>I168</t>
  </si>
  <si>
    <t>Guangzhou Jingyumang Electronic Commerce Co., Ltd.</t>
  </si>
  <si>
    <t>Rope</t>
  </si>
  <si>
    <t>Kris Wu</t>
  </si>
  <si>
    <t>1239841129@qq.com</t>
  </si>
  <si>
    <t>I169</t>
  </si>
  <si>
    <t>Shenzhen Z-Crown Technology Ltd.</t>
  </si>
  <si>
    <t>UTP Cable</t>
  </si>
  <si>
    <t>Elva Z-Crown</t>
  </si>
  <si>
    <t>elva@z-crown.com</t>
  </si>
  <si>
    <t>I170</t>
  </si>
  <si>
    <t>Zhangjiagang Uchen New Energy Technology Co., Ltd.</t>
  </si>
  <si>
    <t>EV Chargers</t>
  </si>
  <si>
    <t>Arlian ding</t>
  </si>
  <si>
    <t>dingf@uchen.com.cn</t>
  </si>
  <si>
    <t>I171</t>
  </si>
  <si>
    <t>NINGBO TOP FENG INTERNATIONAL  CO., LTD</t>
  </si>
  <si>
    <t>Clothe line</t>
  </si>
  <si>
    <t>Bella Wang</t>
  </si>
  <si>
    <t>bella@topfeng.net</t>
  </si>
  <si>
    <t>I172</t>
  </si>
  <si>
    <t>JIEYANG ZHONGJIA METAL INDUSTRIAL CO., LTD.</t>
  </si>
  <si>
    <t>Tv wall mount</t>
  </si>
  <si>
    <t>Ray Wu</t>
  </si>
  <si>
    <t>raywu55@hotmail.com</t>
  </si>
  <si>
    <t>I173</t>
  </si>
  <si>
    <t>Nan'an Zhongbo Sanitary Ware Co., Ltd.</t>
  </si>
  <si>
    <t>Outdoor Sink &amp; Faucet</t>
  </si>
  <si>
    <t>Quanzhou</t>
  </si>
  <si>
    <t>yang ju</t>
  </si>
  <si>
    <t>284536834@qq.com</t>
  </si>
  <si>
    <t>I174</t>
  </si>
  <si>
    <t>Lucky Lighting Co., Limited</t>
  </si>
  <si>
    <t>David Hu</t>
  </si>
  <si>
    <t>sale1@lucky-lighting.com</t>
  </si>
  <si>
    <t>I175</t>
  </si>
  <si>
    <t>Qingdao Everlast Glass Products Co., Ltd.</t>
  </si>
  <si>
    <t>Glass Jars</t>
  </si>
  <si>
    <t>Qingdao</t>
  </si>
  <si>
    <t>Estelle Liu</t>
  </si>
  <si>
    <t>estelle.liu@qdeverlastglass.com</t>
  </si>
  <si>
    <t>I176</t>
  </si>
  <si>
    <t>Hefei Dake E-Commerce Co., Ltd.</t>
  </si>
  <si>
    <t>Charcaol Barbeque</t>
  </si>
  <si>
    <t>Anhui</t>
  </si>
  <si>
    <t>Mr. jack qian</t>
  </si>
  <si>
    <t>823380907@qq.com</t>
  </si>
  <si>
    <t>I177</t>
  </si>
  <si>
    <t>Shanghai BrightPac Printing Co., Ltd</t>
  </si>
  <si>
    <t>PYC Stickers</t>
  </si>
  <si>
    <t>Shanghai</t>
  </si>
  <si>
    <t>Wendy Huang</t>
  </si>
  <si>
    <t>wendy@printing88.com</t>
  </si>
  <si>
    <t>I178</t>
  </si>
  <si>
    <t>SHANGHAI MINIPORE INDUSTRIAL CO., LTD</t>
  </si>
  <si>
    <t>Water purifier</t>
  </si>
  <si>
    <t>Daniel Pi</t>
  </si>
  <si>
    <t>sales6@minipore.com</t>
  </si>
  <si>
    <t>I179</t>
  </si>
  <si>
    <t>Shenzhen Sicao Electric Appliances Co.,Ltd.</t>
  </si>
  <si>
    <t>Wine Cooler</t>
  </si>
  <si>
    <t>Minly Tan</t>
  </si>
  <si>
    <t>Sales@cnsicao.com</t>
  </si>
  <si>
    <t>I181</t>
  </si>
  <si>
    <t>Taizhou Sunshine Garden Products Co., Ltd.</t>
  </si>
  <si>
    <t>Jean Yan</t>
  </si>
  <si>
    <t>sales03@fabricpot.net</t>
  </si>
  <si>
    <t>I182</t>
  </si>
  <si>
    <t>Guangzhou A.C.T Products Co., Limited</t>
  </si>
  <si>
    <t>Led Linear Profiles</t>
  </si>
  <si>
    <t>Jessie Huang</t>
  </si>
  <si>
    <t>alump1903@rucobond.com</t>
  </si>
  <si>
    <t>I183</t>
  </si>
  <si>
    <t xml:space="preserve">Hengshui Shuoyang Imp.&amp; Exp. Trade Co.,Ltd </t>
  </si>
  <si>
    <t>Oven Gloves</t>
  </si>
  <si>
    <t>Hengshui</t>
  </si>
  <si>
    <t>Shyoyang David</t>
  </si>
  <si>
    <t>shuoyanghealthcare@163.com</t>
  </si>
  <si>
    <t>I184</t>
  </si>
  <si>
    <t>Chongqing Greenbox Environment Technology Co.,ltd</t>
  </si>
  <si>
    <t>Bamboo spoons</t>
  </si>
  <si>
    <t>Chongqing</t>
  </si>
  <si>
    <t>Tina Yang</t>
  </si>
  <si>
    <t>bamboo_1979@outlook.com</t>
  </si>
  <si>
    <t>I185</t>
  </si>
  <si>
    <t>YANTAI TONGLI EQUIPMENT&amp;SUPPLIES CO., LTD</t>
  </si>
  <si>
    <t>Kitchen Set</t>
  </si>
  <si>
    <t>Doris Wong</t>
  </si>
  <si>
    <t>doriswang@zgtongli.cn</t>
  </si>
  <si>
    <t>I186</t>
  </si>
  <si>
    <t>Guangzhou Huigusen Live Household Co., LTD</t>
  </si>
  <si>
    <t>Cutting Boards</t>
  </si>
  <si>
    <t>Karen RTS</t>
  </si>
  <si>
    <t>sales02@ceohouseware.com</t>
  </si>
  <si>
    <t>I187</t>
  </si>
  <si>
    <t>Shenzhen GaoChuangXin technology co., Ltd</t>
  </si>
  <si>
    <t>Kitchen towels</t>
  </si>
  <si>
    <t>Wind LX</t>
  </si>
  <si>
    <t>lex@gch-t.com</t>
  </si>
  <si>
    <t>I188</t>
  </si>
  <si>
    <t>Wuxi Katm Power Technology Co., Ltd.</t>
  </si>
  <si>
    <t>Open Type Diesel Generator</t>
  </si>
  <si>
    <t>Alex</t>
  </si>
  <si>
    <t>alex@kamaxpower.com</t>
  </si>
  <si>
    <t>I189</t>
  </si>
  <si>
    <t>HeBei Pesinou Outdoor Products Co.,Ltd</t>
  </si>
  <si>
    <t xml:space="preserve">Garden shades, labels, sprinklers, root </t>
  </si>
  <si>
    <t>Canghzou city</t>
  </si>
  <si>
    <t>John Yu</t>
  </si>
  <si>
    <t>john@outdoorsproduct.com</t>
  </si>
  <si>
    <t>I190</t>
  </si>
  <si>
    <t>Dalian Winning International Trade Co., Ltd.</t>
  </si>
  <si>
    <t>PYC disposable napkins, cutlery, dish</t>
  </si>
  <si>
    <t>Dalian</t>
  </si>
  <si>
    <t>Ami Qi</t>
  </si>
  <si>
    <t>Amy@beyondec.com</t>
  </si>
  <si>
    <t>I191</t>
  </si>
  <si>
    <t>Yuyao Fulidi Electric Co., Ltd.</t>
  </si>
  <si>
    <t>Step Lights</t>
  </si>
  <si>
    <t>Sabrina Yan</t>
  </si>
  <si>
    <t>office@longwellelectric.com</t>
  </si>
  <si>
    <t>I192</t>
  </si>
  <si>
    <t>Sichuan WeiYu Electric Co., Ltd</t>
  </si>
  <si>
    <t>EV Chargers OIK5.2.2</t>
  </si>
  <si>
    <t>Medina</t>
  </si>
  <si>
    <t>medina@injet.com,_x000D_
info@weeyuevse.com</t>
  </si>
  <si>
    <t>+86-188 2852 1343</t>
  </si>
  <si>
    <t>https://www.weeyuevse.com/ www.injetenergy.com</t>
  </si>
  <si>
    <t>I193</t>
  </si>
  <si>
    <t>Yiwu Sanan Pet Products Co., Ltd.</t>
  </si>
  <si>
    <t>Pet Car Seat Cover</t>
  </si>
  <si>
    <t>Bella Dong</t>
  </si>
  <si>
    <t>bella@sananpetproducts.com</t>
  </si>
  <si>
    <t>I194</t>
  </si>
  <si>
    <t>QINGDAO BAREFOOT CONSTRUCTION MATERIAL CO., LTD</t>
  </si>
  <si>
    <t>WPC Panels</t>
  </si>
  <si>
    <t>coowinwpc@coowinwpc.com</t>
  </si>
  <si>
    <t>I195</t>
  </si>
  <si>
    <t>FUJIAN WIN WIN IMPORT AND EXPORT TRADING CO.,LTD</t>
  </si>
  <si>
    <t>Linear Drain Covers</t>
  </si>
  <si>
    <t>Mebbo</t>
  </si>
  <si>
    <t>waterdrain@163.com</t>
  </si>
  <si>
    <t>I196</t>
  </si>
  <si>
    <t>WIDO MACHINERY CO.,LIMITED</t>
  </si>
  <si>
    <t>Suzhou</t>
  </si>
  <si>
    <t>Mary</t>
  </si>
  <si>
    <t>mary@widopt.com</t>
  </si>
  <si>
    <t>I197</t>
  </si>
  <si>
    <t>SZONE GROUP CO,.LIMITED</t>
  </si>
  <si>
    <t>Curtain Rails &amp; Accessories</t>
  </si>
  <si>
    <t>Jojo Huang</t>
  </si>
  <si>
    <t xml:space="preserve">Sales07@szye.net </t>
  </si>
  <si>
    <t>I198</t>
  </si>
  <si>
    <t>YONGKANG BAFEN INDUSTRY&amp;TRADE CO.,LTD</t>
  </si>
  <si>
    <t>Ladders</t>
  </si>
  <si>
    <t>Kaly Ye</t>
  </si>
  <si>
    <t>sales02@zjbafen.com</t>
  </si>
  <si>
    <t>I199</t>
  </si>
  <si>
    <t>Ningbo Splash Pool Appliance Co.,Ltd</t>
  </si>
  <si>
    <t>Pool Robotic Cleaner</t>
  </si>
  <si>
    <t>Mark Li</t>
  </si>
  <si>
    <t>mark@ezrevo.com</t>
  </si>
  <si>
    <t>I200</t>
  </si>
  <si>
    <t>Dingli (shandong) Import And Export Co.,</t>
  </si>
  <si>
    <t>Shade Sail</t>
  </si>
  <si>
    <t>tongyuan gao</t>
  </si>
  <si>
    <t>sddingli2021@163.com</t>
  </si>
  <si>
    <t>I201</t>
  </si>
  <si>
    <t>Auto Leaders Co., Ltd</t>
  </si>
  <si>
    <t>Gps Tracker</t>
  </si>
  <si>
    <t>Echo Wang</t>
  </si>
  <si>
    <t>sales5@sinotrack.com</t>
  </si>
  <si>
    <t>I202</t>
  </si>
  <si>
    <t>SHENZHEN ARCHIBALD TECH CO., LTD</t>
  </si>
  <si>
    <t>Wen Liu</t>
  </si>
  <si>
    <t>april@archibaldtech.com</t>
  </si>
  <si>
    <t>I203</t>
  </si>
  <si>
    <t>ANJIBETTER FURNITURE CO.,LTD.</t>
  </si>
  <si>
    <t>Portable Massage Table</t>
  </si>
  <si>
    <t>ZHEJIANG</t>
  </si>
  <si>
    <t>Halow wang</t>
  </si>
  <si>
    <t>sales01@anjibetter.com</t>
  </si>
  <si>
    <t>I204</t>
  </si>
  <si>
    <t>Wenzhou Haicheng Guanchun Sanitary Ware</t>
  </si>
  <si>
    <t>Bathroom Accessories</t>
  </si>
  <si>
    <t>Zhejiang,</t>
  </si>
  <si>
    <t>disaweiyu@163.com</t>
  </si>
  <si>
    <t>I205</t>
  </si>
  <si>
    <t>Zhaoqing City Gaoyao Minjie Hardware Plastic Co., Ltd.</t>
  </si>
  <si>
    <t>Table Legs</t>
  </si>
  <si>
    <t>Maggie</t>
  </si>
  <si>
    <t>maggie@minjiehardware.com sale08@minjiehardware.com</t>
  </si>
  <si>
    <t>I206</t>
  </si>
  <si>
    <t>EVERPANDO PACKAGING (HANGZHOU) CO., LTD</t>
  </si>
  <si>
    <t>Take Away Packages</t>
  </si>
  <si>
    <t>Harper</t>
  </si>
  <si>
    <t>esales3@everpando.com</t>
  </si>
  <si>
    <t>I207</t>
  </si>
  <si>
    <t>SHENZHEN XINHAOLI ELECTRONIC CO.,LTD</t>
  </si>
  <si>
    <t>Table Led Rechargable Lamps</t>
  </si>
  <si>
    <t>William Xiong</t>
  </si>
  <si>
    <t>william@giftwhole.com</t>
  </si>
  <si>
    <t>I208</t>
  </si>
  <si>
    <t>Zhongshan Gpeng Lighting Co., Ltd　</t>
  </si>
  <si>
    <t>Klin</t>
  </si>
  <si>
    <t>hugo@gpengled.com   </t>
  </si>
  <si>
    <t>I209</t>
  </si>
  <si>
    <t>Shenzhen Guohui lighting equipment co,.ltd</t>
  </si>
  <si>
    <t>Solar Street Light &amp; Lamp Pole</t>
  </si>
  <si>
    <t>ShenZhen</t>
  </si>
  <si>
    <t>Jessica</t>
  </si>
  <si>
    <t>sales02@szguohui.com</t>
  </si>
  <si>
    <t>I210</t>
  </si>
  <si>
    <t>Shandong Xiaomoke Metal Products Co.</t>
  </si>
  <si>
    <t>Decoration Plant Pots</t>
  </si>
  <si>
    <t>Linda wang</t>
  </si>
  <si>
    <t>Allen@sdxiaomoke.com_x000D_
linda@sdxiaomoke.com</t>
  </si>
  <si>
    <t>http://www.sdxiaomoke.com/</t>
  </si>
  <si>
    <t>I211</t>
  </si>
  <si>
    <t>Yuyao Xianghua Lamps Co., Ltd.</t>
  </si>
  <si>
    <t>Outdoor Lawn Lights</t>
  </si>
  <si>
    <t>Leon Liu</t>
  </si>
  <si>
    <t>xianghualeon@gmail.com</t>
  </si>
  <si>
    <t>I212</t>
  </si>
  <si>
    <t>Luohe Juyou Commercial &amp; Trading </t>
  </si>
  <si>
    <t>Stone Mills</t>
  </si>
  <si>
    <t>Betty Wang</t>
  </si>
  <si>
    <t>sales01juyoumech@outlook.com</t>
  </si>
  <si>
    <t>I213</t>
  </si>
  <si>
    <t>INMO Industrial Co.Ltd </t>
  </si>
  <si>
    <t>Charcoal Grill</t>
  </si>
  <si>
    <t>Cathy  Zhang</t>
  </si>
  <si>
    <t>inmochinabbq@hotmail.com</t>
  </si>
  <si>
    <t>https://inmobbq.en.alibaba.com/</t>
  </si>
  <si>
    <t>I214</t>
  </si>
  <si>
    <t>Guangzhou ITO Catering Equipment Co., Ltd.</t>
  </si>
  <si>
    <t>Slice Toaster</t>
  </si>
  <si>
    <t>Minka Wu</t>
  </si>
  <si>
    <t>minkawu@ito2008.com</t>
  </si>
  <si>
    <t>I215</t>
  </si>
  <si>
    <t>Harbin Yunjia Trade Co., Ltd.</t>
  </si>
  <si>
    <t>Table Tennis</t>
  </si>
  <si>
    <t>Heilongjiang</t>
  </si>
  <si>
    <t>Grace Fan</t>
  </si>
  <si>
    <t>grece@yuntech.ltd  grace_qqty@163.com</t>
  </si>
  <si>
    <t>+86 13154510511</t>
  </si>
  <si>
    <t>https://chinayunjia.en.alibaba.com/index.html?spm=a2700.shop_cp.88.13</t>
  </si>
  <si>
    <t>I216</t>
  </si>
  <si>
    <t>XI'AN LEECORK CO., LTD.</t>
  </si>
  <si>
    <t>Cork Tiles</t>
  </si>
  <si>
    <t>Xi’an</t>
  </si>
  <si>
    <t>Zoe Zheng</t>
  </si>
  <si>
    <t>zoe.z@leecork.com</t>
  </si>
  <si>
    <t>I217</t>
  </si>
  <si>
    <t>Chongqing Honyu Global Agri-Tech Co.,</t>
  </si>
  <si>
    <t>Vertical Hydroponic Growing System</t>
  </si>
  <si>
    <t>Jenny Zeng</t>
  </si>
  <si>
    <t>Pan@honyuglobal.com</t>
  </si>
  <si>
    <t>I218</t>
  </si>
  <si>
    <t>Hochey Medical Co., Ltd.</t>
  </si>
  <si>
    <t>Beauty Table</t>
  </si>
  <si>
    <t>Janice Feng</t>
  </si>
  <si>
    <t>sales10@hocheymed.com</t>
  </si>
  <si>
    <t>I219</t>
  </si>
  <si>
    <t>Jiangsu Mingteng Health Produc</t>
  </si>
  <si>
    <t>Massage Table</t>
  </si>
  <si>
    <t>Ivan Zhang</t>
  </si>
  <si>
    <t>europe@dandu.net</t>
  </si>
  <si>
    <t>I220</t>
  </si>
  <si>
    <t>Shenzhen Benhaida Rubber &amp; Plastic Products Co., Ltd.</t>
  </si>
  <si>
    <t>Silicone Ice Ball Mold</t>
  </si>
  <si>
    <t>Lucy Liao</t>
  </si>
  <si>
    <t>bonnie@benhaida.com lucy@benhaida.com</t>
  </si>
  <si>
    <t>I221</t>
  </si>
  <si>
    <t>Shijiazhuang Haihuijumei Import And Export Co., Ltd.</t>
  </si>
  <si>
    <t>Cast Iron Pot</t>
  </si>
  <si>
    <t>Willy Li</t>
  </si>
  <si>
    <t>280323798@qq.com</t>
  </si>
  <si>
    <t>I222</t>
  </si>
  <si>
    <t>JOYSTAR ELECTRICAL APPLIANCES MANUFACTURING CO.,LTD</t>
  </si>
  <si>
    <t>Bottle Warmer</t>
  </si>
  <si>
    <t>Scarlett Leung</t>
  </si>
  <si>
    <t>sales3@joystar-china.com</t>
  </si>
  <si>
    <t>I223</t>
  </si>
  <si>
    <t>NINGBO KANGTUO DAILAY PRODUCTS CO., LTD - NGBO SMOOTHLIGHT ELECTRONIC TECHNOLOGY CO., LTD.</t>
  </si>
  <si>
    <t>Nail Drill</t>
  </si>
  <si>
    <t>Amelia</t>
  </si>
  <si>
    <t>Amelia@smoothlight.com_x000D_
kenzhang.yyhy@gmail.com</t>
  </si>
  <si>
    <t>https://www.smoolight.com/</t>
  </si>
  <si>
    <t>I224</t>
  </si>
  <si>
    <t>Guangzhou Angela Beauty Equipment CO.,LTD</t>
  </si>
  <si>
    <t>Aesthetician machine</t>
  </si>
  <si>
    <t>1819075748@qq.com</t>
  </si>
  <si>
    <t>I225</t>
  </si>
  <si>
    <t>GUANGZHOU FOURTO SANITARY PRODUCTS CO.,LTD</t>
  </si>
  <si>
    <t>Wax Equipment</t>
  </si>
  <si>
    <t>Claire Liang</t>
  </si>
  <si>
    <t>lovewaxkiss@fourto.com</t>
  </si>
  <si>
    <t>I226</t>
  </si>
  <si>
    <t>Foshan Nanhai Ou Hong Zhi Sanitary Ware Factory</t>
  </si>
  <si>
    <t>Towel Warmer</t>
  </si>
  <si>
    <t>GuangDong</t>
  </si>
  <si>
    <t xml:space="preserve">Lily  </t>
  </si>
  <si>
    <t xml:space="preserve">yameite02@163.com </t>
  </si>
  <si>
    <t>I227</t>
  </si>
  <si>
    <t>Zhejiang Rongfeng Electronic Technology Co., Ltd.</t>
  </si>
  <si>
    <t>Sterilizer Cabinet</t>
  </si>
  <si>
    <t>ZheJiang</t>
  </si>
  <si>
    <t>Sam Zong</t>
  </si>
  <si>
    <t>jack@ywrongfeng.com</t>
  </si>
  <si>
    <t>I228</t>
  </si>
  <si>
    <t>Guangzhou YSD Beauty Products Co., Ltd</t>
  </si>
  <si>
    <t>Double Wax Pot</t>
  </si>
  <si>
    <t>info@ysdbeauty.com</t>
  </si>
  <si>
    <t>I229</t>
  </si>
  <si>
    <t>WALLY BEAUTY INTERNATIONAL LIMITED</t>
  </si>
  <si>
    <t>Stool</t>
  </si>
  <si>
    <t>Sym Lau</t>
  </si>
  <si>
    <t>sales9@wallybeauty.com</t>
  </si>
  <si>
    <t>I230</t>
  </si>
  <si>
    <t>BeautyWellness Health Technology Co.Ltd</t>
  </si>
  <si>
    <t>Sauna Blankets</t>
  </si>
  <si>
    <t>Alice Xiang</t>
  </si>
  <si>
    <t>btws02@beauty-wellness.cc</t>
  </si>
  <si>
    <t>I231</t>
  </si>
  <si>
    <t>Daieme Cosmetic Co.,Ltd</t>
  </si>
  <si>
    <t>Massage Oils</t>
  </si>
  <si>
    <t>Belinda Meng</t>
  </si>
  <si>
    <t xml:space="preserve">belinda@daieme.cn </t>
  </si>
  <si>
    <t>I232</t>
  </si>
  <si>
    <t>Nails Equipment</t>
  </si>
  <si>
    <t>Linda</t>
  </si>
  <si>
    <t>asgelpolish02@hotmail.com</t>
  </si>
  <si>
    <t>I233</t>
  </si>
  <si>
    <t>TOP COM CORPORATION LIMITED</t>
  </si>
  <si>
    <t>Beauty Equipment</t>
  </si>
  <si>
    <t>Ryan</t>
  </si>
  <si>
    <t>ryan@topcomww.com</t>
  </si>
  <si>
    <t>I234</t>
  </si>
  <si>
    <t>Xingli Bamboo Products Com</t>
  </si>
  <si>
    <t>Bamboo Flooring</t>
  </si>
  <si>
    <t>Cris</t>
  </si>
  <si>
    <t xml:space="preserve">3905bamboo@bamboobest.com </t>
  </si>
  <si>
    <t>I235</t>
  </si>
  <si>
    <t>Yuyao Lanqiang Electrical Appliance Co., Ltd.</t>
  </si>
  <si>
    <t>Nail Dust Collector</t>
  </si>
  <si>
    <t xml:space="preserve">Logan Chen </t>
  </si>
  <si>
    <t>I236</t>
  </si>
  <si>
    <t>FUJIAN BALDR TECHNOLOGY CO.,LTD</t>
  </si>
  <si>
    <t>Watertimers</t>
  </si>
  <si>
    <t>Charlene</t>
  </si>
  <si>
    <t>sale03@baldr.com</t>
  </si>
  <si>
    <t>+86 18060662872</t>
  </si>
  <si>
    <t>http://www.baldr.com https://www.rainpointonline.com/</t>
  </si>
  <si>
    <t>VASIA</t>
  </si>
  <si>
    <t>I237</t>
  </si>
  <si>
    <t>Shenzhen Joney Security Technology Co., Ltd.</t>
  </si>
  <si>
    <t>Security Cameras</t>
  </si>
  <si>
    <t>Guangdong- Shenzhen</t>
  </si>
  <si>
    <t>jenny ren</t>
  </si>
  <si>
    <t>jennyren@joneytech.com</t>
  </si>
  <si>
    <t xml:space="preserve">​What 's app  : +86 13420957505 </t>
  </si>
  <si>
    <t xml:space="preserve">http://www.joneytech.com _x000D_
http://www.joneysecurity.com _x000D_
www.joneysecurity.en.alibaba.com_x000D_
</t>
  </si>
  <si>
    <t>PANAGIOTIS</t>
  </si>
  <si>
    <t>I238</t>
  </si>
  <si>
    <t>XC Technology Co., Ltd.</t>
  </si>
  <si>
    <t>Photovoltaics</t>
  </si>
  <si>
    <t>Changzhou, Jiangsu</t>
  </si>
  <si>
    <t>Sunny Cai</t>
  </si>
  <si>
    <t>sunnycai@czxcsolar.com</t>
  </si>
  <si>
    <t>I239</t>
  </si>
  <si>
    <t>Bluesun Solar Co., Ltd.</t>
  </si>
  <si>
    <t>Anhui- hefei</t>
  </si>
  <si>
    <t>Cassies Fang</t>
  </si>
  <si>
    <t>solar64@bluesunpv.com</t>
  </si>
  <si>
    <t>I240</t>
  </si>
  <si>
    <t>FUJIAN GOLDEN BAMBOO INDUSTRY CO., LTD.</t>
  </si>
  <si>
    <t>BAMBOO</t>
  </si>
  <si>
    <t>Zhangzhou, Fujian</t>
  </si>
  <si>
    <t>Annise Zhong</t>
  </si>
  <si>
    <t>annise@fjgoldenbamboo.com</t>
  </si>
  <si>
    <t>NIKI</t>
  </si>
  <si>
    <t>I241</t>
  </si>
  <si>
    <t>Leisure Touch Co.,Ltd</t>
  </si>
  <si>
    <t>RATTAN ROLLS</t>
  </si>
  <si>
    <t>Apple Yang</t>
  </si>
  <si>
    <t>apple.yang@leisuretouch-rattan.com</t>
  </si>
  <si>
    <t>86-13690576263</t>
  </si>
  <si>
    <t>https://www.leisuretouch-rattan.com/</t>
  </si>
  <si>
    <t>NIKI &amp; ALEX</t>
  </si>
  <si>
    <t>I242</t>
  </si>
  <si>
    <t>Vinicole Electrical Appliance Co. Ltd</t>
  </si>
  <si>
    <t>Wine coolers</t>
  </si>
  <si>
    <t>JOY Yang</t>
  </si>
  <si>
    <t>joy@vinicolecellar.com</t>
  </si>
  <si>
    <t>Tel  :  +86-760-88770512       Cell:  +86 -13924535731</t>
  </si>
  <si>
    <t>www.vinicolecellar.net   http://vinicole.en.alibaba.com</t>
  </si>
  <si>
    <t>I243</t>
  </si>
  <si>
    <t>Shandong Newels International Co., Ltd.</t>
  </si>
  <si>
    <t>Cold storage</t>
  </si>
  <si>
    <t>Lucas Newels</t>
  </si>
  <si>
    <t>Lucas.Newels@hotmail.com</t>
  </si>
  <si>
    <t>+86 13082707731 </t>
  </si>
  <si>
    <t>https://newels.en.alibaba.com/</t>
  </si>
  <si>
    <t>I244</t>
  </si>
  <si>
    <t>HomeDec Sanitary Ware CO.,ltd</t>
  </si>
  <si>
    <t>Amy</t>
  </si>
  <si>
    <t>sales3@homedec-bath.com</t>
  </si>
  <si>
    <t>86- 18565187165</t>
  </si>
  <si>
    <t xml:space="preserve"> www.homedec-bath.com</t>
  </si>
  <si>
    <t>I245</t>
  </si>
  <si>
    <t>K&amp;o Illumination Electronic Ltd</t>
  </si>
  <si>
    <t>Underwater Lights</t>
  </si>
  <si>
    <t>Fenny Pang</t>
  </si>
  <si>
    <t>sales@kolighting.com </t>
  </si>
  <si>
    <t>Cell:+86 15989179714   Wechat: +0086 15989179714   Whatsapp: +86 15989179714</t>
  </si>
  <si>
    <t>www.kolighting.com   http://kolighting.en.alibaba.com</t>
  </si>
  <si>
    <t>I246</t>
  </si>
  <si>
    <t>The Best Project Material Co.,Ltd</t>
  </si>
  <si>
    <t>Jute geotextiles</t>
  </si>
  <si>
    <t>Elena</t>
  </si>
  <si>
    <t>sales7@hdpetgm.com</t>
  </si>
  <si>
    <t>+86 182 6382 7229</t>
  </si>
  <si>
    <t>Web:  www.bpmgeomembrane.com        www.bpmgeosynthetics.com          www.hdpetgm.com</t>
  </si>
  <si>
    <t>I247</t>
  </si>
  <si>
    <t>Taian Nuolian Engineering Materials Co., Ltd.</t>
  </si>
  <si>
    <t>Geocell &amp; PVC</t>
  </si>
  <si>
    <t>Emily Yuan</t>
  </si>
  <si>
    <t>Sale08@nuoliansd.com</t>
  </si>
  <si>
    <t>Mobile/whatsapp :+86 18853872008 / +86 18562379007</t>
  </si>
  <si>
    <t>www.nlgeosynthetics.com</t>
  </si>
  <si>
    <t>ALEX</t>
  </si>
  <si>
    <t>I248</t>
  </si>
  <si>
    <t>Foshan Jiasu Building Material Co., Ltd</t>
  </si>
  <si>
    <t xml:space="preserve">Outdoor Furniture_x000D_
</t>
  </si>
  <si>
    <t>Ken</t>
  </si>
  <si>
    <t>marketing1@kasocover.com</t>
  </si>
  <si>
    <t>+86 138 2774 9353</t>
  </si>
  <si>
    <t>http://www.kasocover.en.alibaba.com http://www.kasocovercn.en.alibaba.com</t>
  </si>
  <si>
    <t>ELINA</t>
  </si>
  <si>
    <t>Hebei Qianye Metal Product Co. Ltd.</t>
  </si>
  <si>
    <t>Fence Razor Wire</t>
  </si>
  <si>
    <t xml:space="preserve">Cody_x000D_
Emily_x000D_
</t>
  </si>
  <si>
    <t>emily.han@wiremeshglobal.com_x000D_
cody.song@wiremeshglobal.com</t>
  </si>
  <si>
    <t xml:space="preserve">T:+86-13223460605  F:+86-311-85525815  Mobile/WhatsApp/Wechat:+86-15511126938 </t>
  </si>
  <si>
    <t>http://www.wiremeshglobal.com/</t>
  </si>
  <si>
    <t>I250</t>
  </si>
  <si>
    <t>I251</t>
  </si>
  <si>
    <t>Grassfit Tech (Chengdu) Co. Ltd.</t>
  </si>
  <si>
    <t>Pilates Reformer</t>
  </si>
  <si>
    <t>Sechuan</t>
  </si>
  <si>
    <t>Patrick</t>
  </si>
  <si>
    <t>sales05@grassfit.net</t>
  </si>
  <si>
    <t>T: +8617349880161   wechat: patrickjane1997</t>
  </si>
  <si>
    <t>http://www.grassfit.net/</t>
  </si>
  <si>
    <t>RK</t>
  </si>
  <si>
    <t>I252</t>
  </si>
  <si>
    <t>JINGJIANG HAISEN MACHINERY EQUIPMENT CO., LTD</t>
  </si>
  <si>
    <t>Anchors</t>
  </si>
  <si>
    <t>Jingjiang</t>
  </si>
  <si>
    <t>Cherry</t>
  </si>
  <si>
    <t>cherry3180@163.com</t>
  </si>
  <si>
    <t>Mob: +86-15152656107   Wechat: cherry3180</t>
  </si>
  <si>
    <t>I254</t>
  </si>
  <si>
    <t>Anhui Liangzhi Energy Saving Technology Co., Ltd.</t>
  </si>
  <si>
    <t>Ice Cube Machine</t>
  </si>
  <si>
    <t>Helen Yao</t>
  </si>
  <si>
    <t>lzice@ahliangzhi.com</t>
  </si>
  <si>
    <t>Mobile/WhatsApp/WeChat: +86 15012821588</t>
  </si>
  <si>
    <t>I255</t>
  </si>
  <si>
    <t>Anhui GP New Energy Co. Ltd</t>
  </si>
  <si>
    <t>Solar System</t>
  </si>
  <si>
    <t>Elson</t>
  </si>
  <si>
    <t>elson@gp-solars.com</t>
  </si>
  <si>
    <t xml:space="preserve">+86 199 0969 7368 </t>
  </si>
  <si>
    <t>https://www.gp-solars.com/</t>
  </si>
  <si>
    <t>11th F, Building B, Fengtai Industrial Park, Zhenxing Road, Shushan District, Hefei City, Anhui Province</t>
  </si>
  <si>
    <t>I256</t>
  </si>
  <si>
    <t>Dongguan Chuen Computer Embroidery Co., Ltd.</t>
  </si>
  <si>
    <t>Promotional Bags</t>
  </si>
  <si>
    <t>Stan</t>
  </si>
  <si>
    <t>stan@dgcgxh.com</t>
  </si>
  <si>
    <t>+86769-21681724 Stan +86-18667898879</t>
  </si>
  <si>
    <t>https://choieon.en.alibaba.com/</t>
  </si>
  <si>
    <t>ANTHI</t>
  </si>
  <si>
    <t>68 Jiaoxiang Rd., Jiaoshe, Dongkeng Town, Dongguan, Guangdong, China (Main land)</t>
  </si>
  <si>
    <t>I257</t>
  </si>
  <si>
    <t>Shanghai Macway Electrical Co., Ltd.</t>
  </si>
  <si>
    <t>Solar Lights</t>
  </si>
  <si>
    <t>Daisy Zhu</t>
  </si>
  <si>
    <t>sales3@macwaysh.com</t>
  </si>
  <si>
    <t>Mobile/We chat/Whatsapp:+86-15172318953</t>
  </si>
  <si>
    <t>https://macwaysh.en.alibaba.com/</t>
  </si>
  <si>
    <t>No. 285, Rongxing Road, Songjiang District, Shanghai 201613</t>
  </si>
  <si>
    <t>I258</t>
  </si>
  <si>
    <t>Chaozhou Shangcai Ceramic Technology Co., Ltd.</t>
  </si>
  <si>
    <t>SouthVilla Bath</t>
  </si>
  <si>
    <t>Chaozhou</t>
  </si>
  <si>
    <t>Fiona</t>
  </si>
  <si>
    <t>sale02@southvillabath.com</t>
  </si>
  <si>
    <t>WhatsApp/WeChat:+86-19107674553</t>
  </si>
  <si>
    <t>http://www.southvillabath.com</t>
  </si>
  <si>
    <t>Add: NO.2,KENIAOLING ROAD,DAKENGTANG,FENGYANGER VILLAGE,GUXIANG TOWN,CHAOAN DISTRICT,CHAOZHOU CITY.</t>
  </si>
  <si>
    <t>I259</t>
  </si>
  <si>
    <t>Bluesun Solar Co.,Ltd</t>
  </si>
  <si>
    <t>Solar Systems FV</t>
  </si>
  <si>
    <t>Hefei</t>
  </si>
  <si>
    <t>WhatsApp/Mob: +86-188 5509 4459</t>
  </si>
  <si>
    <t>www.powerbluesun.com</t>
  </si>
  <si>
    <t>Zhenxing Road,Shushan District,230031 Hefei,China</t>
  </si>
  <si>
    <t>I260</t>
  </si>
  <si>
    <t>Pright (China) Co., Ltd.</t>
  </si>
  <si>
    <t>Beijing</t>
  </si>
  <si>
    <t>Jenny</t>
  </si>
  <si>
    <t>jenny@pright.com</t>
  </si>
  <si>
    <t>Tel:  (86) 10 8795 2448 ext.811 Phone:15801556156</t>
  </si>
  <si>
    <t>www.pright.com</t>
  </si>
  <si>
    <t>705, Huateng New World Plaza, _x000D_
No. 195, Dongsihuan Zhonglu,_x000D_
Beijing 100124, P.R. China</t>
  </si>
  <si>
    <t>I261</t>
  </si>
  <si>
    <t>Weihai Bluebay Outdoor Products Co., Ltd.</t>
  </si>
  <si>
    <t>Sup Board</t>
  </si>
  <si>
    <t xml:space="preserve">Calla Wang_x000D_
</t>
  </si>
  <si>
    <t>boatteam03@hiwobang.com</t>
  </si>
  <si>
    <t xml:space="preserve">Mobile: +86 18963112351     _x000D_
Whatspp/Wechat: +86 13046433926_x000D_
</t>
  </si>
  <si>
    <t>http://www.bluebayoutdoor.com</t>
  </si>
  <si>
    <t>No. 58, Jiashan Road, Chucun Town, Weihai, Shandong, China</t>
  </si>
  <si>
    <t>I262</t>
  </si>
  <si>
    <t>Jiangsu Universal Industrial Co., Ltd.</t>
  </si>
  <si>
    <t>POWER TOOLS</t>
  </si>
  <si>
    <t>Ms. Sicily Chen</t>
  </si>
  <si>
    <t>00-86-18118110682</t>
  </si>
  <si>
    <t>http://www.tolsentools.com</t>
  </si>
  <si>
    <t>No. 28, Huachang Road, Yangshe Town (6 / F, Xinhongji Mansion), Suzhou, Jiangsu, China</t>
  </si>
  <si>
    <t>I263</t>
  </si>
  <si>
    <t>I264</t>
  </si>
  <si>
    <t xml:space="preserve">GuangZhou Flishel (Freezer)Refrigeration Equipment Co,Ltd       </t>
  </si>
  <si>
    <t xml:space="preserve">Flishel Refrigeration_x000D_
</t>
  </si>
  <si>
    <t>Allen</t>
  </si>
  <si>
    <t>flishel@126.com</t>
  </si>
  <si>
    <t xml:space="preserve">WhatsApp/Tel:     0086-13825108168  </t>
  </si>
  <si>
    <t xml:space="preserve">www.flishel.com    </t>
  </si>
  <si>
    <t>ROKO</t>
  </si>
  <si>
    <t>Office Add:No.941 Panyu South Road,DongHuan Street,Panyu Dist.Guangzhou</t>
  </si>
  <si>
    <t>I265</t>
  </si>
  <si>
    <t>Jiangsu YLD Water Processing Equipment Co., Ltd</t>
  </si>
  <si>
    <t>YLD Water Softener</t>
  </si>
  <si>
    <t>Georing</t>
  </si>
  <si>
    <t>water@jsyld.com.cn</t>
  </si>
  <si>
    <t>phone: +86 13515274963 +86 510 86653369</t>
  </si>
  <si>
    <t>http://www.zgyld.com/ http://www.zgyld.com/english/</t>
  </si>
  <si>
    <t>NO. 3388, Zhencheng Road, Huangtu Town, Jiangyin City, Jiangsu Province, China</t>
  </si>
  <si>
    <t>I266</t>
  </si>
  <si>
    <t>HESTON</t>
  </si>
  <si>
    <t xml:space="preserve">No. 154.156 Haibin Road, Qiuzhai Village, Haicheng Street, Wenzhou Economic And Technological Development Zone_x000D_
 Wenzhou Zhejiang	_x000D_
			_x000D_
			</t>
  </si>
  <si>
    <t>I267</t>
  </si>
  <si>
    <t>Jialifu Panel Industry (Guangzhou) Co., Ltd</t>
  </si>
  <si>
    <t>JIALIFU Lockers</t>
  </si>
  <si>
    <t>Elena Lin</t>
  </si>
  <si>
    <t>elena@jialifucn.com</t>
  </si>
  <si>
    <t>phone: +86 13926476455 +86-20-39252892</t>
  </si>
  <si>
    <t>www.jialifucn.com</t>
  </si>
  <si>
    <t>Panyu District, Guangzhou City, China</t>
  </si>
  <si>
    <t>I268</t>
  </si>
  <si>
    <t>EON MATRESS</t>
  </si>
  <si>
    <t>I269</t>
  </si>
  <si>
    <t>JLH MATRESS</t>
  </si>
  <si>
    <t>I270</t>
  </si>
  <si>
    <t>CD TABLE BASE</t>
  </si>
  <si>
    <t>WEIOU FUNRITURE</t>
  </si>
  <si>
    <t>TIANJIN</t>
  </si>
  <si>
    <t>YINUO…S INDOOR</t>
  </si>
  <si>
    <t>I274</t>
  </si>
  <si>
    <t>LANDBOND</t>
  </si>
  <si>
    <t>I275</t>
  </si>
  <si>
    <t>VIKER ART</t>
  </si>
  <si>
    <t>I276</t>
  </si>
  <si>
    <t>AOMI WATER PURIFIERS</t>
  </si>
  <si>
    <t>SHENZEN</t>
  </si>
  <si>
    <t>Tammy</t>
  </si>
  <si>
    <t>info@ocpuritech.com</t>
  </si>
  <si>
    <t>I277</t>
  </si>
  <si>
    <t>Xiamen Superb Technology Co., Ltd</t>
  </si>
  <si>
    <t>Xiamen Irrigation</t>
  </si>
  <si>
    <t>Ella</t>
  </si>
  <si>
    <t>sales3@superbirrigation.com</t>
  </si>
  <si>
    <t>phone: +86-592-5624365</t>
  </si>
  <si>
    <t>Unit 503, NO.10 DuiYing Road, Houxi Town, Jimei District, Xiamen City, Fujian Province, China</t>
  </si>
  <si>
    <t>GEOTEXTILES</t>
  </si>
  <si>
    <t>I280</t>
  </si>
  <si>
    <t>Suzhou Xinhuilun Machinery Co., Ltd</t>
  </si>
  <si>
    <t>Kitchen Machinery</t>
  </si>
  <si>
    <t>Wendy Yin</t>
  </si>
  <si>
    <t>xinhuilun2019@163.com</t>
  </si>
  <si>
    <t>phone: +86-13773171398</t>
  </si>
  <si>
    <t>Room 914, Building 1, Huicui Business Plaza, Yuanhe Subdistrict, Suzhou, Jiangsu, China</t>
  </si>
  <si>
    <t>PRODUCTION</t>
  </si>
  <si>
    <t>AWAITING CONFIRM</t>
  </si>
  <si>
    <t>READY</t>
  </si>
  <si>
    <t>I280 KITCHEN MACHINERY</t>
  </si>
  <si>
    <t>I253</t>
  </si>
  <si>
    <t>I253 GEOTEXTILES</t>
  </si>
  <si>
    <t>Deposit Date</t>
  </si>
  <si>
    <t>Remarks</t>
  </si>
  <si>
    <t>LOAD FROM OTHER SUPPLIER</t>
  </si>
  <si>
    <t>AWAITING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</si>
</sst>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 x14ac:knownFonts="1">
    <font>
      <sz val="11"/>
      <name val="Calibri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6"/>
      <color rgb="FF0070C0"/>
      <name val="Calibri"/>
      <family val="2"/>
    </font>
    <font>
      <b/>
      <sz val="16"/>
      <color rgb="FF00B050"/>
      <name val="Calibri"/>
      <family val="2"/>
    </font>
    <font>
      <b/>
      <sz val="16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F3FF"/>
      </patternFill>
    </fill>
    <fill>
      <patternFill patternType="solid">
        <fgColor rgb="FFE7FFE7"/>
      </patternFill>
    </fill>
    <fill>
      <patternFill patternType="solid">
        <fgColor rgb="FFE7FFE7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2" fontId="6" fillId="2" borderId="5" xfId="0" applyNumberFormat="1" applyFont="1" applyFill="1" applyBorder="1" applyAlignment="1">
      <alignment horizontal="right" vertical="center"/>
    </xf>
    <xf numFmtId="164" fontId="7" fillId="3" borderId="6" xfId="0" applyNumberFormat="1" applyFont="1" applyFill="1" applyBorder="1" applyAlignment="1">
      <alignment horizontal="right" vertical="center"/>
    </xf>
    <xf numFmtId="2" fontId="8" fillId="4" borderId="7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4" xfId="0" applyFont="1" applyBorder="1" applyAlignment="1">
      <alignment horizontal="left" vertical="center"/>
    </xf>
    <xf numFmtId="0" fontId="1" fillId="0" borderId="1" xfId="1"/>
    <xf numFmtId="0" fontId="1" fillId="0" borderId="1" xfId="1" applyAlignment="1">
      <alignment wrapText="1"/>
    </xf>
    <xf numFmtId="0" fontId="2" fillId="0" borderId="9" xfId="0" applyFont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right" vertical="center"/>
    </xf>
    <xf numFmtId="15" fontId="2" fillId="5" borderId="10" xfId="0" applyNumberFormat="1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/>
    </xf>
    <xf numFmtId="15" fontId="2" fillId="0" borderId="10" xfId="0" applyNumberFormat="1" applyFont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right" vertical="center"/>
    </xf>
    <xf numFmtId="15" fontId="2" fillId="5" borderId="8" xfId="0" applyNumberFormat="1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9F60760A-BC58-A348-93BE-4E1A657852D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zoomScaleNormal="100" workbookViewId="0">
      <selection activeCell="I11" sqref="I11"/>
    </sheetView>
  </sheetViews>
  <sheetFormatPr baseColWidth="10" defaultRowHeight="15" x14ac:dyDescent="0.2"/>
  <cols>
    <col min="1" max="1" width="26.5" customWidth="1"/>
    <col min="2" max="2" width="30.83203125" customWidth="1"/>
    <col min="3" max="3" width="9" customWidth="1"/>
    <col min="4" max="4" width="7.83203125" hidden="1" customWidth="1"/>
    <col min="5" max="5" width="12.83203125" hidden="1" customWidth="1"/>
    <col min="6" max="6" width="12.83203125" customWidth="1"/>
    <col min="7" max="7" width="12.83203125" hidden="1" customWidth="1"/>
    <col min="8" max="8" width="8.83203125" hidden="1" customWidth="1"/>
    <col min="9" max="9" width="15.83203125" customWidth="1"/>
    <col min="10" max="10" width="18.5" customWidth="1"/>
    <col min="11" max="11" width="18" customWidth="1"/>
    <col min="12" max="13" width="17.83203125" customWidth="1"/>
    <col min="14" max="14" width="13.5" customWidth="1"/>
    <col min="15" max="15" width="65" hidden="1" customWidth="1"/>
    <col min="16" max="16" width="6.83203125" hidden="1" customWidth="1"/>
    <col min="17" max="17" width="24" customWidth="1"/>
  </cols>
  <sheetData>
    <row r="1" spans="1:1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26</v>
      </c>
      <c r="M1" s="6" t="s">
        <v>1011</v>
      </c>
      <c r="N1" s="6" t="s">
        <v>27</v>
      </c>
      <c r="O1" s="6" t="s">
        <v>28</v>
      </c>
      <c r="P1" s="1" t="s">
        <v>11</v>
      </c>
      <c r="Q1" s="6" t="s">
        <v>1012</v>
      </c>
    </row>
    <row r="2" spans="1:17" x14ac:dyDescent="0.2">
      <c r="A2" s="13" t="s">
        <v>12</v>
      </c>
      <c r="B2" s="13" t="s">
        <v>13</v>
      </c>
      <c r="C2" s="14">
        <v>24.8</v>
      </c>
      <c r="D2" s="14">
        <v>75</v>
      </c>
      <c r="E2" s="14">
        <v>0</v>
      </c>
      <c r="F2" s="14">
        <v>4800</v>
      </c>
      <c r="G2" s="14">
        <v>0</v>
      </c>
      <c r="H2" s="13"/>
      <c r="I2" s="13">
        <v>30</v>
      </c>
      <c r="J2" s="13" t="s">
        <v>1006</v>
      </c>
      <c r="K2" s="13" t="s">
        <v>1005</v>
      </c>
      <c r="L2" s="13">
        <v>1440</v>
      </c>
      <c r="M2" s="15">
        <v>45961</v>
      </c>
      <c r="N2" s="13">
        <f>F2-L2</f>
        <v>3360</v>
      </c>
      <c r="O2" s="13"/>
      <c r="P2" s="13" t="s">
        <v>14</v>
      </c>
      <c r="Q2" s="16"/>
    </row>
    <row r="3" spans="1:17" x14ac:dyDescent="0.2">
      <c r="A3" s="17" t="s">
        <v>15</v>
      </c>
      <c r="B3" s="17" t="s">
        <v>16</v>
      </c>
      <c r="C3" s="18">
        <v>14.82</v>
      </c>
      <c r="D3" s="18">
        <v>0</v>
      </c>
      <c r="E3" s="18">
        <v>0</v>
      </c>
      <c r="F3" s="18">
        <v>3280</v>
      </c>
      <c r="G3" s="18">
        <v>0</v>
      </c>
      <c r="H3" s="17"/>
      <c r="I3" s="17">
        <v>30</v>
      </c>
      <c r="J3" s="19">
        <f>I3+M3</f>
        <v>45976</v>
      </c>
      <c r="K3" s="17" t="s">
        <v>1005</v>
      </c>
      <c r="L3" s="17">
        <v>995</v>
      </c>
      <c r="M3" s="19">
        <v>45946</v>
      </c>
      <c r="N3" s="17">
        <f>F3-L3</f>
        <v>2285</v>
      </c>
      <c r="O3" s="17"/>
      <c r="P3" s="17" t="s">
        <v>14</v>
      </c>
      <c r="Q3" s="12"/>
    </row>
    <row r="4" spans="1:17" x14ac:dyDescent="0.2">
      <c r="A4" s="13" t="s">
        <v>17</v>
      </c>
      <c r="B4" s="13" t="s">
        <v>18</v>
      </c>
      <c r="C4" s="14">
        <v>7.4</v>
      </c>
      <c r="D4" s="14">
        <v>0</v>
      </c>
      <c r="E4" s="14">
        <v>0</v>
      </c>
      <c r="F4" s="14">
        <v>16447</v>
      </c>
      <c r="G4" s="14">
        <v>0</v>
      </c>
      <c r="H4" s="13"/>
      <c r="I4" s="13">
        <v>20</v>
      </c>
      <c r="J4" s="15">
        <v>45971</v>
      </c>
      <c r="K4" s="13" t="s">
        <v>1005</v>
      </c>
      <c r="L4" s="13">
        <v>4934.3</v>
      </c>
      <c r="M4" s="15">
        <v>45946</v>
      </c>
      <c r="N4" s="13">
        <f>F4-L4</f>
        <v>11512.7</v>
      </c>
      <c r="O4" s="13"/>
      <c r="P4" s="13" t="s">
        <v>14</v>
      </c>
      <c r="Q4" s="16"/>
    </row>
    <row r="5" spans="1:17" x14ac:dyDescent="0.2">
      <c r="A5" s="17" t="s">
        <v>19</v>
      </c>
      <c r="B5" s="17" t="s">
        <v>20</v>
      </c>
      <c r="C5" s="18">
        <v>9.51</v>
      </c>
      <c r="D5" s="18">
        <v>0</v>
      </c>
      <c r="E5" s="18">
        <v>0</v>
      </c>
      <c r="F5" s="18">
        <v>10150</v>
      </c>
      <c r="G5" s="18">
        <v>0</v>
      </c>
      <c r="H5" s="17"/>
      <c r="I5" s="17"/>
      <c r="J5" s="17" t="s">
        <v>1007</v>
      </c>
      <c r="K5" s="17" t="s">
        <v>1007</v>
      </c>
      <c r="L5" s="17">
        <v>4724</v>
      </c>
      <c r="M5" s="19">
        <v>45929</v>
      </c>
      <c r="N5" s="17">
        <f t="shared" ref="N5:N8" si="0">F5-L5</f>
        <v>5426</v>
      </c>
      <c r="O5" s="17"/>
      <c r="P5" s="17" t="s">
        <v>14</v>
      </c>
      <c r="Q5" s="12"/>
    </row>
    <row r="6" spans="1:17" x14ac:dyDescent="0.2">
      <c r="A6" s="13" t="s">
        <v>998</v>
      </c>
      <c r="B6" s="13" t="s">
        <v>1008</v>
      </c>
      <c r="C6" s="14">
        <v>1.28</v>
      </c>
      <c r="D6" s="14"/>
      <c r="E6" s="14"/>
      <c r="F6" s="14">
        <v>2938</v>
      </c>
      <c r="G6" s="14"/>
      <c r="H6" s="13"/>
      <c r="I6" s="13"/>
      <c r="J6" s="13" t="s">
        <v>1014</v>
      </c>
      <c r="K6" s="13" t="s">
        <v>1005</v>
      </c>
      <c r="L6" s="13">
        <v>1469</v>
      </c>
      <c r="M6" s="15">
        <v>45966</v>
      </c>
      <c r="N6" s="13">
        <f t="shared" si="0"/>
        <v>1469</v>
      </c>
      <c r="O6" s="13"/>
      <c r="P6" s="13"/>
      <c r="Q6" s="16"/>
    </row>
    <row r="7" spans="1:17" x14ac:dyDescent="0.2">
      <c r="A7" s="17" t="s">
        <v>1009</v>
      </c>
      <c r="B7" s="17" t="s">
        <v>1010</v>
      </c>
      <c r="C7" s="18">
        <v>2.4</v>
      </c>
      <c r="D7" s="18">
        <v>0</v>
      </c>
      <c r="E7" s="18">
        <v>0</v>
      </c>
      <c r="F7" s="18">
        <v>2400</v>
      </c>
      <c r="G7" s="18">
        <v>0</v>
      </c>
      <c r="H7" s="17"/>
      <c r="I7" s="17">
        <v>20</v>
      </c>
      <c r="J7" s="17"/>
      <c r="K7" s="17"/>
      <c r="L7" s="17">
        <v>2400</v>
      </c>
      <c r="M7" s="17"/>
      <c r="N7" s="17">
        <f t="shared" ref="N7" si="1">F7-L7</f>
        <v>0</v>
      </c>
      <c r="O7" s="17"/>
      <c r="P7" s="17" t="s">
        <v>14</v>
      </c>
      <c r="Q7" s="12" t="s">
        <v>1013</v>
      </c>
    </row>
    <row r="8" spans="1:17" x14ac:dyDescent="0.2">
      <c r="A8" s="20" t="s">
        <v>21</v>
      </c>
      <c r="B8" s="20" t="s">
        <v>22</v>
      </c>
      <c r="C8" s="21">
        <v>3.8</v>
      </c>
      <c r="D8" s="21">
        <v>0</v>
      </c>
      <c r="E8" s="21">
        <v>0</v>
      </c>
      <c r="F8" s="21">
        <v>3053.25</v>
      </c>
      <c r="G8" s="21">
        <v>0</v>
      </c>
      <c r="H8" s="20"/>
      <c r="I8" s="20">
        <v>5</v>
      </c>
      <c r="J8" s="22">
        <f>M8+I8</f>
        <v>45971</v>
      </c>
      <c r="K8" s="20" t="s">
        <v>1005</v>
      </c>
      <c r="L8" s="20">
        <v>3053.25</v>
      </c>
      <c r="M8" s="22">
        <v>45966</v>
      </c>
      <c r="N8" s="20">
        <f t="shared" si="0"/>
        <v>0</v>
      </c>
      <c r="O8" s="20"/>
      <c r="P8" s="20" t="s">
        <v>14</v>
      </c>
      <c r="Q8" s="23"/>
    </row>
    <row r="9" spans="1:17" x14ac:dyDescent="0.2">
      <c r="A9" s="8"/>
      <c r="L9" s="7"/>
      <c r="M9" s="7"/>
      <c r="N9" s="24">
        <f>SUM(N2:N8)</f>
        <v>24052.7</v>
      </c>
      <c r="O9" s="7"/>
      <c r="Q9" s="7"/>
    </row>
    <row r="10" spans="1:17" ht="21" x14ac:dyDescent="0.2">
      <c r="A10" s="9" t="s">
        <v>23</v>
      </c>
      <c r="B10" s="3">
        <f>SUM(C2:C8)</f>
        <v>64.010000000000005</v>
      </c>
      <c r="L10" s="7"/>
      <c r="M10" s="7"/>
      <c r="N10" s="7"/>
      <c r="O10" s="7"/>
      <c r="Q10" s="7"/>
    </row>
    <row r="11" spans="1:17" ht="21" x14ac:dyDescent="0.2">
      <c r="A11" s="9" t="s">
        <v>24</v>
      </c>
      <c r="B11" s="4">
        <f>SUM(F2:F8) + SUM(G2:G8)</f>
        <v>43068.25</v>
      </c>
      <c r="L11" s="7"/>
      <c r="M11" s="7"/>
      <c r="N11" s="7"/>
      <c r="O11" s="7"/>
      <c r="Q11" s="7"/>
    </row>
    <row r="12" spans="1:17" ht="21" x14ac:dyDescent="0.2">
      <c r="A12" s="9" t="s">
        <v>25</v>
      </c>
      <c r="B12" s="5">
        <f>SUMIF(K2:K8,"Ready to Ship",C2:C8)</f>
        <v>0</v>
      </c>
      <c r="L12" s="7"/>
      <c r="M12" s="7"/>
      <c r="N12" s="7"/>
      <c r="O12" s="7"/>
      <c r="Q12" s="7"/>
    </row>
    <row r="13" spans="1:17" x14ac:dyDescent="0.2">
      <c r="L13" s="7"/>
      <c r="M13" s="7"/>
      <c r="N13" s="7"/>
      <c r="O13" s="7"/>
      <c r="Q13" s="7"/>
    </row>
    <row r="14" spans="1:17" x14ac:dyDescent="0.2">
      <c r="L14" s="7"/>
      <c r="M14" s="7"/>
      <c r="N14" s="7"/>
      <c r="O14" s="7"/>
      <c r="Q14" s="7"/>
    </row>
    <row r="15" spans="1:17" x14ac:dyDescent="0.2">
      <c r="L15" s="7"/>
      <c r="M15" s="7"/>
      <c r="N15" s="7"/>
      <c r="O15" s="7"/>
      <c r="Q15" s="7"/>
    </row>
    <row r="16" spans="1:17" x14ac:dyDescent="0.2">
      <c r="L16" s="7"/>
      <c r="M16" s="7"/>
      <c r="N16" s="7"/>
      <c r="O16" s="7"/>
      <c r="Q16" s="7"/>
    </row>
    <row r="17" spans="12:17" x14ac:dyDescent="0.2">
      <c r="L17" s="7"/>
      <c r="M17" s="7"/>
      <c r="N17" s="7"/>
      <c r="O17" s="7"/>
      <c r="Q17" s="7"/>
    </row>
  </sheetData>
  <pageMargins left="0.7" right="0.7" top="0.75" bottom="0.75" header="0.3" footer="0.3"/>
  <ignoredErrors>
    <ignoredError sqref="P9:P12 A1:K1 A9:K9 P1 A11:K12 A10:H10 J10:K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549E-B1CA-494C-A6C4-D8BF06374A4E}">
  <dimension ref="A1:M183"/>
  <sheetViews>
    <sheetView topLeftCell="A94" workbookViewId="0"/>
  </sheetViews>
  <sheetFormatPr baseColWidth="10" defaultRowHeight="16" x14ac:dyDescent="0.2"/>
  <cols>
    <col min="1" max="16384" width="10.83203125" style="10"/>
  </cols>
  <sheetData>
    <row r="1" spans="1:13" x14ac:dyDescent="0.2">
      <c r="A1" s="10" t="s">
        <v>29</v>
      </c>
      <c r="B1" s="10" t="s">
        <v>1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28</v>
      </c>
    </row>
    <row r="2" spans="1:13" x14ac:dyDescent="0.2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G2" s="10" t="s">
        <v>45</v>
      </c>
      <c r="H2" s="10" t="s">
        <v>46</v>
      </c>
      <c r="I2" s="10" t="s">
        <v>47</v>
      </c>
      <c r="K2" s="10" t="s">
        <v>48</v>
      </c>
    </row>
    <row r="3" spans="1:13" x14ac:dyDescent="0.2">
      <c r="A3" s="10" t="s">
        <v>49</v>
      </c>
      <c r="B3" s="10" t="s">
        <v>50</v>
      </c>
      <c r="C3" s="10" t="s">
        <v>51</v>
      </c>
      <c r="D3" s="10" t="s">
        <v>43</v>
      </c>
      <c r="E3" s="10" t="s">
        <v>52</v>
      </c>
      <c r="G3" s="10" t="s">
        <v>53</v>
      </c>
      <c r="H3" s="10" t="s">
        <v>54</v>
      </c>
      <c r="K3" s="10" t="s">
        <v>48</v>
      </c>
    </row>
    <row r="4" spans="1:13" ht="119" x14ac:dyDescent="0.2">
      <c r="A4" s="10" t="s">
        <v>55</v>
      </c>
      <c r="B4" s="10" t="s">
        <v>56</v>
      </c>
      <c r="C4" s="10" t="s">
        <v>57</v>
      </c>
      <c r="D4" s="10" t="s">
        <v>43</v>
      </c>
      <c r="E4" s="10" t="s">
        <v>58</v>
      </c>
      <c r="G4" s="11" t="s">
        <v>59</v>
      </c>
      <c r="H4" s="11" t="s">
        <v>60</v>
      </c>
      <c r="I4" s="10" t="s">
        <v>61</v>
      </c>
      <c r="J4" s="10" t="s">
        <v>62</v>
      </c>
      <c r="K4" s="10" t="s">
        <v>48</v>
      </c>
    </row>
    <row r="5" spans="1:13" x14ac:dyDescent="0.2">
      <c r="A5" s="10" t="s">
        <v>63</v>
      </c>
      <c r="B5" s="10" t="s">
        <v>64</v>
      </c>
      <c r="C5" s="10" t="s">
        <v>65</v>
      </c>
      <c r="D5" s="10" t="s">
        <v>43</v>
      </c>
      <c r="E5" s="10" t="s">
        <v>66</v>
      </c>
      <c r="F5" s="10" t="s">
        <v>67</v>
      </c>
      <c r="G5" s="10" t="s">
        <v>68</v>
      </c>
      <c r="H5" s="10" t="s">
        <v>69</v>
      </c>
      <c r="I5" s="10" t="s">
        <v>70</v>
      </c>
      <c r="J5" s="10" t="s">
        <v>71</v>
      </c>
      <c r="K5" s="10" t="s">
        <v>48</v>
      </c>
      <c r="M5" s="10" t="s">
        <v>72</v>
      </c>
    </row>
    <row r="6" spans="1:13" x14ac:dyDescent="0.2">
      <c r="A6" s="10" t="s">
        <v>73</v>
      </c>
      <c r="B6" s="10" t="s">
        <v>74</v>
      </c>
      <c r="C6" s="10" t="s">
        <v>75</v>
      </c>
      <c r="D6" s="10" t="s">
        <v>43</v>
      </c>
      <c r="E6" s="10" t="s">
        <v>58</v>
      </c>
      <c r="G6" s="10" t="s">
        <v>76</v>
      </c>
      <c r="H6" s="10" t="s">
        <v>77</v>
      </c>
      <c r="I6" s="10" t="s">
        <v>78</v>
      </c>
      <c r="J6" s="10" t="s">
        <v>79</v>
      </c>
      <c r="K6" s="10" t="s">
        <v>48</v>
      </c>
    </row>
    <row r="7" spans="1:13" x14ac:dyDescent="0.2">
      <c r="A7" s="10" t="s">
        <v>80</v>
      </c>
      <c r="B7" s="10" t="s">
        <v>81</v>
      </c>
      <c r="C7" s="10" t="s">
        <v>82</v>
      </c>
      <c r="D7" s="10" t="s">
        <v>43</v>
      </c>
      <c r="E7" s="10" t="s">
        <v>66</v>
      </c>
      <c r="K7" s="10" t="s">
        <v>48</v>
      </c>
    </row>
    <row r="8" spans="1:13" x14ac:dyDescent="0.2">
      <c r="A8" s="10" t="s">
        <v>83</v>
      </c>
      <c r="B8" s="10" t="s">
        <v>84</v>
      </c>
      <c r="C8" s="10" t="s">
        <v>85</v>
      </c>
      <c r="D8" s="10" t="s">
        <v>43</v>
      </c>
      <c r="E8" s="10" t="s">
        <v>66</v>
      </c>
      <c r="K8" s="10" t="s">
        <v>48</v>
      </c>
    </row>
    <row r="9" spans="1:13" x14ac:dyDescent="0.2">
      <c r="A9" s="10" t="s">
        <v>86</v>
      </c>
      <c r="B9" s="10" t="s">
        <v>87</v>
      </c>
      <c r="C9" s="10" t="s">
        <v>88</v>
      </c>
      <c r="D9" s="10" t="s">
        <v>43</v>
      </c>
      <c r="E9" s="10" t="s">
        <v>89</v>
      </c>
      <c r="K9" s="10" t="s">
        <v>48</v>
      </c>
    </row>
    <row r="10" spans="1:13" x14ac:dyDescent="0.2">
      <c r="A10" s="10" t="s">
        <v>90</v>
      </c>
      <c r="B10" s="10" t="s">
        <v>91</v>
      </c>
      <c r="C10" s="10" t="s">
        <v>92</v>
      </c>
      <c r="D10" s="10" t="s">
        <v>43</v>
      </c>
      <c r="E10" s="10" t="s">
        <v>66</v>
      </c>
      <c r="G10" s="10" t="s">
        <v>93</v>
      </c>
      <c r="H10" s="10" t="s">
        <v>94</v>
      </c>
      <c r="K10" s="10" t="s">
        <v>48</v>
      </c>
    </row>
    <row r="11" spans="1:13" x14ac:dyDescent="0.2">
      <c r="A11" s="10" t="s">
        <v>95</v>
      </c>
      <c r="B11" s="10" t="s">
        <v>96</v>
      </c>
      <c r="C11" s="10" t="s">
        <v>97</v>
      </c>
      <c r="D11" s="10" t="s">
        <v>43</v>
      </c>
      <c r="E11" s="10" t="s">
        <v>66</v>
      </c>
      <c r="K11" s="10" t="s">
        <v>48</v>
      </c>
    </row>
    <row r="12" spans="1:13" x14ac:dyDescent="0.2">
      <c r="A12" s="10" t="s">
        <v>98</v>
      </c>
      <c r="B12" s="10" t="s">
        <v>99</v>
      </c>
      <c r="C12" s="10" t="s">
        <v>100</v>
      </c>
      <c r="D12" s="10" t="s">
        <v>43</v>
      </c>
      <c r="E12" s="10" t="s">
        <v>101</v>
      </c>
      <c r="K12" s="10" t="s">
        <v>48</v>
      </c>
    </row>
    <row r="13" spans="1:13" ht="68" x14ac:dyDescent="0.2">
      <c r="A13" s="10" t="s">
        <v>102</v>
      </c>
      <c r="B13" s="10" t="s">
        <v>103</v>
      </c>
      <c r="C13" s="10" t="s">
        <v>104</v>
      </c>
      <c r="D13" s="10" t="s">
        <v>43</v>
      </c>
      <c r="E13" s="10" t="s">
        <v>66</v>
      </c>
      <c r="G13" s="11" t="s">
        <v>105</v>
      </c>
      <c r="H13" s="11" t="s">
        <v>106</v>
      </c>
      <c r="I13" s="10" t="s">
        <v>107</v>
      </c>
      <c r="J13" s="10" t="s">
        <v>108</v>
      </c>
      <c r="K13" s="10" t="s">
        <v>48</v>
      </c>
    </row>
    <row r="14" spans="1:13" x14ac:dyDescent="0.2">
      <c r="A14" s="10" t="s">
        <v>109</v>
      </c>
      <c r="B14" s="10" t="s">
        <v>110</v>
      </c>
      <c r="C14" s="10" t="s">
        <v>111</v>
      </c>
      <c r="D14" s="10" t="s">
        <v>43</v>
      </c>
      <c r="E14" s="10" t="s">
        <v>112</v>
      </c>
      <c r="K14" s="10" t="s">
        <v>48</v>
      </c>
    </row>
    <row r="15" spans="1:13" x14ac:dyDescent="0.2">
      <c r="A15" s="10" t="s">
        <v>113</v>
      </c>
      <c r="B15" s="10" t="s">
        <v>114</v>
      </c>
      <c r="C15" s="10" t="s">
        <v>115</v>
      </c>
      <c r="D15" s="10" t="s">
        <v>43</v>
      </c>
      <c r="E15" s="10" t="s">
        <v>66</v>
      </c>
      <c r="K15" s="10" t="s">
        <v>48</v>
      </c>
    </row>
    <row r="16" spans="1:13" x14ac:dyDescent="0.2">
      <c r="A16" s="10" t="s">
        <v>116</v>
      </c>
      <c r="B16" s="10" t="s">
        <v>117</v>
      </c>
      <c r="C16" s="10" t="s">
        <v>118</v>
      </c>
      <c r="D16" s="10" t="s">
        <v>43</v>
      </c>
      <c r="E16" s="10" t="s">
        <v>119</v>
      </c>
      <c r="K16" s="10" t="s">
        <v>48</v>
      </c>
    </row>
    <row r="17" spans="1:11" x14ac:dyDescent="0.2">
      <c r="A17" s="10" t="s">
        <v>120</v>
      </c>
      <c r="B17" s="10" t="s">
        <v>121</v>
      </c>
      <c r="C17" s="10" t="s">
        <v>122</v>
      </c>
      <c r="D17" s="10" t="s">
        <v>43</v>
      </c>
      <c r="E17" s="10" t="s">
        <v>123</v>
      </c>
      <c r="G17" s="10" t="s">
        <v>124</v>
      </c>
      <c r="H17" s="10" t="s">
        <v>125</v>
      </c>
      <c r="K17" s="10" t="s">
        <v>48</v>
      </c>
    </row>
    <row r="18" spans="1:11" ht="34" x14ac:dyDescent="0.2">
      <c r="A18" s="10" t="s">
        <v>126</v>
      </c>
      <c r="B18" s="10" t="s">
        <v>127</v>
      </c>
      <c r="C18" s="10" t="s">
        <v>128</v>
      </c>
      <c r="D18" s="10" t="s">
        <v>43</v>
      </c>
      <c r="E18" s="10" t="s">
        <v>129</v>
      </c>
      <c r="G18" s="11" t="s">
        <v>130</v>
      </c>
      <c r="H18" s="10" t="s">
        <v>131</v>
      </c>
      <c r="I18" s="10" t="s">
        <v>132</v>
      </c>
      <c r="K18" s="10" t="s">
        <v>48</v>
      </c>
    </row>
    <row r="19" spans="1:11" x14ac:dyDescent="0.2">
      <c r="A19" s="10" t="s">
        <v>133</v>
      </c>
      <c r="B19" s="10" t="s">
        <v>134</v>
      </c>
      <c r="C19" s="10" t="s">
        <v>135</v>
      </c>
      <c r="D19" s="10" t="s">
        <v>43</v>
      </c>
      <c r="E19" s="10" t="s">
        <v>89</v>
      </c>
      <c r="G19" s="10" t="s">
        <v>136</v>
      </c>
      <c r="H19" s="10" t="s">
        <v>137</v>
      </c>
      <c r="K19" s="10" t="s">
        <v>48</v>
      </c>
    </row>
    <row r="20" spans="1:11" x14ac:dyDescent="0.2">
      <c r="A20" s="10" t="s">
        <v>138</v>
      </c>
      <c r="B20" s="10" t="s">
        <v>139</v>
      </c>
      <c r="C20" s="10" t="s">
        <v>140</v>
      </c>
      <c r="D20" s="10" t="s">
        <v>43</v>
      </c>
      <c r="E20" s="10" t="s">
        <v>89</v>
      </c>
      <c r="K20" s="10" t="s">
        <v>141</v>
      </c>
    </row>
    <row r="21" spans="1:11" x14ac:dyDescent="0.2">
      <c r="A21" s="10" t="s">
        <v>142</v>
      </c>
      <c r="B21" s="10" t="s">
        <v>143</v>
      </c>
      <c r="C21" s="10" t="s">
        <v>144</v>
      </c>
      <c r="D21" s="10" t="s">
        <v>43</v>
      </c>
      <c r="E21" s="10" t="s">
        <v>145</v>
      </c>
      <c r="K21" s="10" t="s">
        <v>141</v>
      </c>
    </row>
    <row r="22" spans="1:11" x14ac:dyDescent="0.2">
      <c r="A22" s="10" t="s">
        <v>146</v>
      </c>
      <c r="B22" s="10" t="s">
        <v>147</v>
      </c>
      <c r="C22" s="10" t="s">
        <v>148</v>
      </c>
      <c r="D22" s="10" t="s">
        <v>43</v>
      </c>
      <c r="E22" s="10" t="s">
        <v>66</v>
      </c>
      <c r="K22" s="10" t="s">
        <v>48</v>
      </c>
    </row>
    <row r="23" spans="1:11" x14ac:dyDescent="0.2">
      <c r="A23" s="10" t="s">
        <v>149</v>
      </c>
      <c r="B23" s="10" t="s">
        <v>150</v>
      </c>
      <c r="C23" s="10" t="s">
        <v>151</v>
      </c>
      <c r="D23" s="10" t="s">
        <v>43</v>
      </c>
      <c r="E23" s="10" t="s">
        <v>152</v>
      </c>
      <c r="K23" s="10" t="s">
        <v>48</v>
      </c>
    </row>
    <row r="24" spans="1:11" x14ac:dyDescent="0.2">
      <c r="A24" s="10" t="s">
        <v>153</v>
      </c>
      <c r="B24" s="10" t="s">
        <v>154</v>
      </c>
      <c r="C24" s="10" t="s">
        <v>155</v>
      </c>
      <c r="D24" s="10" t="s">
        <v>43</v>
      </c>
      <c r="E24" s="10" t="s">
        <v>156</v>
      </c>
      <c r="K24" s="10" t="s">
        <v>48</v>
      </c>
    </row>
    <row r="25" spans="1:11" ht="85" x14ac:dyDescent="0.2">
      <c r="A25" s="10" t="s">
        <v>157</v>
      </c>
      <c r="B25" s="11" t="s">
        <v>158</v>
      </c>
      <c r="C25" s="10" t="s">
        <v>159</v>
      </c>
      <c r="D25" s="10" t="s">
        <v>43</v>
      </c>
      <c r="E25" s="10" t="s">
        <v>66</v>
      </c>
      <c r="K25" s="10" t="s">
        <v>141</v>
      </c>
    </row>
    <row r="26" spans="1:11" x14ac:dyDescent="0.2">
      <c r="A26" s="10" t="s">
        <v>160</v>
      </c>
      <c r="B26" s="10" t="s">
        <v>161</v>
      </c>
      <c r="C26" s="10" t="s">
        <v>162</v>
      </c>
      <c r="D26" s="10" t="s">
        <v>43</v>
      </c>
      <c r="E26" s="10" t="s">
        <v>152</v>
      </c>
      <c r="G26" s="10" t="s">
        <v>163</v>
      </c>
      <c r="H26" s="10" t="s">
        <v>164</v>
      </c>
      <c r="I26" s="10" t="s">
        <v>165</v>
      </c>
      <c r="K26" s="10" t="s">
        <v>48</v>
      </c>
    </row>
    <row r="27" spans="1:11" x14ac:dyDescent="0.2">
      <c r="A27" s="10" t="s">
        <v>166</v>
      </c>
      <c r="B27" s="10" t="s">
        <v>167</v>
      </c>
      <c r="C27" s="10" t="s">
        <v>168</v>
      </c>
      <c r="D27" s="10" t="s">
        <v>43</v>
      </c>
      <c r="E27" s="10" t="s">
        <v>129</v>
      </c>
      <c r="K27" s="10" t="s">
        <v>48</v>
      </c>
    </row>
    <row r="28" spans="1:11" x14ac:dyDescent="0.2">
      <c r="A28" s="10" t="s">
        <v>169</v>
      </c>
      <c r="B28" s="10" t="s">
        <v>170</v>
      </c>
      <c r="C28" s="10" t="s">
        <v>171</v>
      </c>
      <c r="D28" s="10" t="s">
        <v>43</v>
      </c>
      <c r="E28" s="10" t="s">
        <v>66</v>
      </c>
      <c r="G28" s="10" t="s">
        <v>172</v>
      </c>
      <c r="H28" s="10" t="s">
        <v>173</v>
      </c>
      <c r="K28" s="10" t="s">
        <v>48</v>
      </c>
    </row>
    <row r="29" spans="1:11" x14ac:dyDescent="0.2">
      <c r="A29" s="10" t="s">
        <v>174</v>
      </c>
      <c r="B29" s="10" t="s">
        <v>175</v>
      </c>
      <c r="C29" s="10" t="s">
        <v>176</v>
      </c>
      <c r="D29" s="10" t="s">
        <v>43</v>
      </c>
      <c r="E29" s="10" t="s">
        <v>66</v>
      </c>
      <c r="K29" s="10" t="s">
        <v>141</v>
      </c>
    </row>
    <row r="30" spans="1:11" ht="119" x14ac:dyDescent="0.2">
      <c r="A30" s="10" t="s">
        <v>177</v>
      </c>
      <c r="B30" s="10" t="s">
        <v>178</v>
      </c>
      <c r="C30" s="10" t="s">
        <v>179</v>
      </c>
      <c r="D30" s="10" t="s">
        <v>43</v>
      </c>
      <c r="E30" s="10" t="s">
        <v>66</v>
      </c>
      <c r="G30" s="11" t="s">
        <v>180</v>
      </c>
      <c r="H30" s="10" t="s">
        <v>181</v>
      </c>
      <c r="I30" s="11" t="s">
        <v>182</v>
      </c>
      <c r="K30" s="10" t="s">
        <v>48</v>
      </c>
    </row>
    <row r="31" spans="1:11" x14ac:dyDescent="0.2">
      <c r="A31" s="10" t="s">
        <v>183</v>
      </c>
      <c r="B31" s="10" t="s">
        <v>184</v>
      </c>
      <c r="C31" s="10" t="s">
        <v>185</v>
      </c>
      <c r="D31" s="10" t="s">
        <v>43</v>
      </c>
      <c r="E31" s="10" t="s">
        <v>66</v>
      </c>
      <c r="G31" s="10" t="s">
        <v>186</v>
      </c>
      <c r="H31" s="10" t="s">
        <v>187</v>
      </c>
      <c r="K31" s="10" t="s">
        <v>48</v>
      </c>
    </row>
    <row r="32" spans="1:11" x14ac:dyDescent="0.2">
      <c r="A32" s="10" t="s">
        <v>188</v>
      </c>
      <c r="B32" s="10" t="s">
        <v>189</v>
      </c>
      <c r="C32" s="10" t="s">
        <v>190</v>
      </c>
      <c r="D32" s="10" t="s">
        <v>43</v>
      </c>
      <c r="E32" s="10" t="s">
        <v>123</v>
      </c>
      <c r="G32" s="10" t="s">
        <v>191</v>
      </c>
      <c r="H32" s="10" t="s">
        <v>192</v>
      </c>
      <c r="K32" s="10" t="s">
        <v>48</v>
      </c>
    </row>
    <row r="33" spans="1:11" x14ac:dyDescent="0.2">
      <c r="A33" s="10" t="s">
        <v>193</v>
      </c>
      <c r="B33" s="10" t="s">
        <v>194</v>
      </c>
      <c r="C33" s="10" t="s">
        <v>195</v>
      </c>
      <c r="D33" s="10" t="s">
        <v>43</v>
      </c>
      <c r="E33" s="10" t="s">
        <v>66</v>
      </c>
      <c r="G33" s="10" t="s">
        <v>196</v>
      </c>
      <c r="H33" s="10" t="s">
        <v>197</v>
      </c>
      <c r="K33" s="10" t="s">
        <v>48</v>
      </c>
    </row>
    <row r="34" spans="1:11" x14ac:dyDescent="0.2">
      <c r="A34" s="10" t="s">
        <v>198</v>
      </c>
      <c r="B34" s="10" t="s">
        <v>199</v>
      </c>
      <c r="C34" s="10" t="s">
        <v>200</v>
      </c>
      <c r="D34" s="10" t="s">
        <v>43</v>
      </c>
      <c r="E34" s="10" t="s">
        <v>201</v>
      </c>
      <c r="G34" s="10" t="s">
        <v>202</v>
      </c>
      <c r="H34" s="10" t="s">
        <v>203</v>
      </c>
      <c r="K34" s="10" t="s">
        <v>48</v>
      </c>
    </row>
    <row r="35" spans="1:11" x14ac:dyDescent="0.2">
      <c r="A35" s="10" t="s">
        <v>204</v>
      </c>
      <c r="B35" s="10" t="s">
        <v>205</v>
      </c>
      <c r="C35" s="10" t="s">
        <v>206</v>
      </c>
      <c r="D35" s="10" t="s">
        <v>43</v>
      </c>
      <c r="E35" s="10" t="s">
        <v>66</v>
      </c>
      <c r="K35" s="10" t="s">
        <v>48</v>
      </c>
    </row>
    <row r="36" spans="1:11" x14ac:dyDescent="0.2">
      <c r="A36" s="10" t="s">
        <v>207</v>
      </c>
      <c r="B36" s="10" t="s">
        <v>208</v>
      </c>
      <c r="C36" s="10" t="s">
        <v>209</v>
      </c>
      <c r="D36" s="10" t="s">
        <v>43</v>
      </c>
      <c r="E36" s="10" t="s">
        <v>66</v>
      </c>
      <c r="G36" s="10" t="s">
        <v>210</v>
      </c>
      <c r="H36" s="10" t="s">
        <v>211</v>
      </c>
      <c r="K36" s="10" t="s">
        <v>48</v>
      </c>
    </row>
    <row r="37" spans="1:11" x14ac:dyDescent="0.2">
      <c r="A37" s="10" t="s">
        <v>212</v>
      </c>
      <c r="B37" s="10" t="s">
        <v>213</v>
      </c>
      <c r="C37" s="10" t="s">
        <v>214</v>
      </c>
      <c r="D37" s="10" t="s">
        <v>43</v>
      </c>
      <c r="E37" s="10" t="s">
        <v>215</v>
      </c>
      <c r="G37" s="10" t="s">
        <v>216</v>
      </c>
      <c r="H37" s="10" t="s">
        <v>217</v>
      </c>
      <c r="K37" s="10" t="s">
        <v>48</v>
      </c>
    </row>
    <row r="38" spans="1:11" x14ac:dyDescent="0.2">
      <c r="A38" s="10" t="s">
        <v>218</v>
      </c>
      <c r="B38" s="10" t="s">
        <v>219</v>
      </c>
      <c r="C38" s="10" t="s">
        <v>220</v>
      </c>
      <c r="D38" s="10" t="s">
        <v>43</v>
      </c>
      <c r="E38" s="10" t="s">
        <v>129</v>
      </c>
      <c r="G38" s="10" t="s">
        <v>221</v>
      </c>
      <c r="H38" s="10" t="s">
        <v>222</v>
      </c>
      <c r="K38" s="10" t="s">
        <v>48</v>
      </c>
    </row>
    <row r="39" spans="1:11" x14ac:dyDescent="0.2">
      <c r="A39" s="10" t="s">
        <v>223</v>
      </c>
      <c r="B39" s="10" t="s">
        <v>224</v>
      </c>
      <c r="C39" s="10" t="s">
        <v>225</v>
      </c>
      <c r="D39" s="10" t="s">
        <v>43</v>
      </c>
      <c r="E39" s="10" t="s">
        <v>66</v>
      </c>
      <c r="G39" s="10" t="s">
        <v>226</v>
      </c>
      <c r="H39" s="10" t="s">
        <v>227</v>
      </c>
      <c r="K39" s="10" t="s">
        <v>48</v>
      </c>
    </row>
    <row r="40" spans="1:11" x14ac:dyDescent="0.2">
      <c r="A40" s="10" t="s">
        <v>228</v>
      </c>
      <c r="B40" s="10" t="s">
        <v>229</v>
      </c>
      <c r="C40" s="10" t="s">
        <v>159</v>
      </c>
      <c r="D40" s="10" t="s">
        <v>43</v>
      </c>
      <c r="E40" s="10" t="s">
        <v>123</v>
      </c>
      <c r="G40" s="10" t="s">
        <v>230</v>
      </c>
      <c r="H40" s="10" t="s">
        <v>231</v>
      </c>
      <c r="K40" s="10" t="s">
        <v>48</v>
      </c>
    </row>
    <row r="41" spans="1:11" x14ac:dyDescent="0.2">
      <c r="A41" s="10" t="s">
        <v>232</v>
      </c>
      <c r="B41" s="10" t="s">
        <v>233</v>
      </c>
      <c r="C41" s="10" t="s">
        <v>234</v>
      </c>
      <c r="D41" s="10" t="s">
        <v>43</v>
      </c>
      <c r="E41" s="10" t="s">
        <v>235</v>
      </c>
      <c r="G41" s="10" t="s">
        <v>236</v>
      </c>
      <c r="H41" s="10" t="s">
        <v>237</v>
      </c>
      <c r="K41" s="10" t="s">
        <v>48</v>
      </c>
    </row>
    <row r="42" spans="1:11" x14ac:dyDescent="0.2">
      <c r="A42" s="10" t="s">
        <v>238</v>
      </c>
      <c r="B42" s="10" t="s">
        <v>239</v>
      </c>
      <c r="C42" s="10" t="s">
        <v>240</v>
      </c>
      <c r="D42" s="10" t="s">
        <v>43</v>
      </c>
      <c r="E42" s="10" t="s">
        <v>241</v>
      </c>
      <c r="G42" s="10" t="s">
        <v>242</v>
      </c>
      <c r="H42" s="10" t="s">
        <v>243</v>
      </c>
      <c r="K42" s="10" t="s">
        <v>48</v>
      </c>
    </row>
    <row r="43" spans="1:11" x14ac:dyDescent="0.2">
      <c r="A43" s="10" t="s">
        <v>244</v>
      </c>
      <c r="B43" s="10" t="s">
        <v>245</v>
      </c>
      <c r="C43" s="10" t="s">
        <v>246</v>
      </c>
      <c r="D43" s="10" t="s">
        <v>43</v>
      </c>
      <c r="E43" s="10" t="s">
        <v>247</v>
      </c>
      <c r="G43" s="10" t="s">
        <v>248</v>
      </c>
      <c r="H43" s="10" t="s">
        <v>249</v>
      </c>
      <c r="K43" s="10" t="s">
        <v>48</v>
      </c>
    </row>
    <row r="44" spans="1:11" x14ac:dyDescent="0.2">
      <c r="A44" s="10" t="s">
        <v>250</v>
      </c>
      <c r="B44" s="10" t="s">
        <v>251</v>
      </c>
      <c r="C44" s="10" t="s">
        <v>252</v>
      </c>
      <c r="D44" s="10" t="s">
        <v>43</v>
      </c>
      <c r="E44" s="10" t="s">
        <v>253</v>
      </c>
      <c r="H44" s="10" t="s">
        <v>254</v>
      </c>
      <c r="K44" s="10" t="s">
        <v>48</v>
      </c>
    </row>
    <row r="45" spans="1:11" x14ac:dyDescent="0.2">
      <c r="A45" s="10" t="s">
        <v>255</v>
      </c>
      <c r="B45" s="10" t="s">
        <v>256</v>
      </c>
      <c r="C45" s="10" t="s">
        <v>257</v>
      </c>
      <c r="D45" s="10" t="s">
        <v>43</v>
      </c>
      <c r="E45" s="10" t="s">
        <v>66</v>
      </c>
      <c r="G45" s="10" t="s">
        <v>258</v>
      </c>
      <c r="H45" s="10" t="s">
        <v>259</v>
      </c>
      <c r="K45" s="10" t="s">
        <v>48</v>
      </c>
    </row>
    <row r="46" spans="1:11" x14ac:dyDescent="0.2">
      <c r="A46" s="10" t="s">
        <v>260</v>
      </c>
      <c r="B46" s="10" t="s">
        <v>261</v>
      </c>
      <c r="C46" s="10" t="s">
        <v>262</v>
      </c>
      <c r="D46" s="10" t="s">
        <v>43</v>
      </c>
      <c r="E46" s="10" t="s">
        <v>129</v>
      </c>
      <c r="G46" s="10" t="s">
        <v>263</v>
      </c>
      <c r="H46" s="10" t="s">
        <v>264</v>
      </c>
      <c r="K46" s="10" t="s">
        <v>48</v>
      </c>
    </row>
    <row r="47" spans="1:11" x14ac:dyDescent="0.2">
      <c r="A47" s="10" t="s">
        <v>265</v>
      </c>
      <c r="B47" s="10" t="s">
        <v>266</v>
      </c>
      <c r="C47" s="10" t="s">
        <v>267</v>
      </c>
      <c r="D47" s="10" t="s">
        <v>43</v>
      </c>
      <c r="E47" s="10" t="s">
        <v>268</v>
      </c>
      <c r="G47" s="10" t="s">
        <v>269</v>
      </c>
      <c r="H47" s="10" t="s">
        <v>270</v>
      </c>
      <c r="K47" s="10" t="s">
        <v>48</v>
      </c>
    </row>
    <row r="48" spans="1:11" x14ac:dyDescent="0.2">
      <c r="A48" s="10" t="s">
        <v>271</v>
      </c>
      <c r="B48" s="10" t="s">
        <v>272</v>
      </c>
      <c r="C48" s="10" t="s">
        <v>273</v>
      </c>
      <c r="D48" s="10" t="s">
        <v>43</v>
      </c>
      <c r="E48" s="10" t="s">
        <v>152</v>
      </c>
      <c r="G48" s="10" t="s">
        <v>274</v>
      </c>
      <c r="H48" s="10" t="s">
        <v>275</v>
      </c>
      <c r="K48" s="10" t="s">
        <v>48</v>
      </c>
    </row>
    <row r="49" spans="1:11" x14ac:dyDescent="0.2">
      <c r="A49" s="10" t="s">
        <v>276</v>
      </c>
      <c r="B49" s="10" t="s">
        <v>277</v>
      </c>
      <c r="C49" s="10" t="s">
        <v>278</v>
      </c>
      <c r="D49" s="10" t="s">
        <v>43</v>
      </c>
      <c r="E49" s="10" t="s">
        <v>129</v>
      </c>
      <c r="G49" s="10" t="s">
        <v>279</v>
      </c>
      <c r="H49" s="10" t="s">
        <v>280</v>
      </c>
    </row>
    <row r="50" spans="1:11" x14ac:dyDescent="0.2">
      <c r="A50" s="10" t="s">
        <v>281</v>
      </c>
      <c r="B50" s="10" t="s">
        <v>282</v>
      </c>
      <c r="C50" s="10" t="s">
        <v>283</v>
      </c>
      <c r="D50" s="10" t="s">
        <v>43</v>
      </c>
      <c r="E50" s="10" t="s">
        <v>268</v>
      </c>
      <c r="G50" s="10" t="s">
        <v>284</v>
      </c>
      <c r="H50" s="10" t="s">
        <v>285</v>
      </c>
      <c r="K50" s="10" t="s">
        <v>48</v>
      </c>
    </row>
    <row r="51" spans="1:11" x14ac:dyDescent="0.2">
      <c r="A51" s="10" t="s">
        <v>286</v>
      </c>
      <c r="B51" s="10" t="s">
        <v>287</v>
      </c>
      <c r="C51" s="10" t="s">
        <v>288</v>
      </c>
      <c r="D51" s="10" t="s">
        <v>43</v>
      </c>
      <c r="E51" s="10" t="s">
        <v>289</v>
      </c>
      <c r="G51" s="10" t="s">
        <v>290</v>
      </c>
      <c r="H51" s="10" t="s">
        <v>291</v>
      </c>
      <c r="K51" s="10" t="s">
        <v>48</v>
      </c>
    </row>
    <row r="52" spans="1:11" x14ac:dyDescent="0.2">
      <c r="A52" s="10" t="s">
        <v>292</v>
      </c>
      <c r="B52" s="10" t="s">
        <v>293</v>
      </c>
      <c r="C52" s="10" t="s">
        <v>294</v>
      </c>
      <c r="D52" s="10" t="s">
        <v>43</v>
      </c>
      <c r="E52" s="10" t="s">
        <v>152</v>
      </c>
      <c r="G52" s="10" t="s">
        <v>295</v>
      </c>
      <c r="H52" s="10" t="s">
        <v>296</v>
      </c>
      <c r="K52" s="10" t="s">
        <v>48</v>
      </c>
    </row>
    <row r="53" spans="1:11" x14ac:dyDescent="0.2">
      <c r="A53" s="10" t="s">
        <v>297</v>
      </c>
      <c r="B53" s="10" t="s">
        <v>298</v>
      </c>
      <c r="C53" s="10" t="s">
        <v>299</v>
      </c>
      <c r="D53" s="10" t="s">
        <v>43</v>
      </c>
      <c r="E53" s="10" t="s">
        <v>300</v>
      </c>
      <c r="G53" s="10" t="s">
        <v>301</v>
      </c>
      <c r="H53" s="10" t="s">
        <v>302</v>
      </c>
      <c r="K53" s="10" t="s">
        <v>48</v>
      </c>
    </row>
    <row r="54" spans="1:11" x14ac:dyDescent="0.2">
      <c r="A54" s="10" t="s">
        <v>303</v>
      </c>
      <c r="B54" s="10" t="s">
        <v>304</v>
      </c>
      <c r="C54" s="10" t="s">
        <v>305</v>
      </c>
      <c r="D54" s="10" t="s">
        <v>43</v>
      </c>
      <c r="E54" s="10" t="s">
        <v>58</v>
      </c>
      <c r="G54" s="10" t="s">
        <v>306</v>
      </c>
      <c r="H54" s="10" t="s">
        <v>307</v>
      </c>
      <c r="K54" s="10" t="s">
        <v>48</v>
      </c>
    </row>
    <row r="55" spans="1:11" x14ac:dyDescent="0.2">
      <c r="A55" s="10" t="s">
        <v>308</v>
      </c>
      <c r="B55" s="10" t="s">
        <v>309</v>
      </c>
      <c r="C55" s="10" t="s">
        <v>310</v>
      </c>
      <c r="D55" s="10" t="s">
        <v>43</v>
      </c>
      <c r="E55" s="10" t="s">
        <v>123</v>
      </c>
      <c r="G55" s="10" t="s">
        <v>311</v>
      </c>
      <c r="H55" s="10" t="s">
        <v>312</v>
      </c>
      <c r="K55" s="10" t="s">
        <v>48</v>
      </c>
    </row>
    <row r="56" spans="1:11" x14ac:dyDescent="0.2">
      <c r="A56" s="10" t="s">
        <v>313</v>
      </c>
      <c r="B56" s="10" t="s">
        <v>314</v>
      </c>
      <c r="C56" s="10" t="s">
        <v>315</v>
      </c>
      <c r="D56" s="10" t="s">
        <v>43</v>
      </c>
      <c r="E56" s="10" t="s">
        <v>129</v>
      </c>
      <c r="G56" s="10" t="s">
        <v>316</v>
      </c>
      <c r="H56" s="10" t="s">
        <v>317</v>
      </c>
      <c r="K56" s="10" t="s">
        <v>48</v>
      </c>
    </row>
    <row r="57" spans="1:11" x14ac:dyDescent="0.2">
      <c r="A57" s="10" t="s">
        <v>318</v>
      </c>
      <c r="B57" s="10" t="s">
        <v>319</v>
      </c>
      <c r="C57" s="10" t="s">
        <v>320</v>
      </c>
      <c r="D57" s="10" t="s">
        <v>43</v>
      </c>
      <c r="E57" s="10" t="s">
        <v>321</v>
      </c>
      <c r="G57" s="10" t="s">
        <v>322</v>
      </c>
      <c r="H57" s="10" t="s">
        <v>323</v>
      </c>
      <c r="K57" s="10" t="s">
        <v>48</v>
      </c>
    </row>
    <row r="58" spans="1:11" x14ac:dyDescent="0.2">
      <c r="A58" s="10" t="s">
        <v>324</v>
      </c>
      <c r="B58" s="10" t="s">
        <v>325</v>
      </c>
      <c r="C58" s="10" t="s">
        <v>326</v>
      </c>
      <c r="D58" s="10" t="s">
        <v>43</v>
      </c>
      <c r="E58" s="10" t="s">
        <v>66</v>
      </c>
      <c r="G58" s="10" t="s">
        <v>327</v>
      </c>
      <c r="H58" s="10" t="s">
        <v>328</v>
      </c>
      <c r="K58" s="10" t="s">
        <v>48</v>
      </c>
    </row>
    <row r="59" spans="1:11" x14ac:dyDescent="0.2">
      <c r="A59" s="10" t="s">
        <v>329</v>
      </c>
      <c r="B59" s="10" t="s">
        <v>330</v>
      </c>
      <c r="C59" s="10" t="s">
        <v>331</v>
      </c>
      <c r="D59" s="10" t="s">
        <v>43</v>
      </c>
      <c r="E59" s="10" t="s">
        <v>89</v>
      </c>
      <c r="G59" s="10" t="s">
        <v>332</v>
      </c>
      <c r="H59" s="10" t="s">
        <v>333</v>
      </c>
      <c r="K59" s="10" t="s">
        <v>48</v>
      </c>
    </row>
    <row r="60" spans="1:11" x14ac:dyDescent="0.2">
      <c r="A60" s="10" t="s">
        <v>334</v>
      </c>
      <c r="B60" s="10" t="s">
        <v>335</v>
      </c>
      <c r="C60" s="10" t="s">
        <v>336</v>
      </c>
      <c r="D60" s="10" t="s">
        <v>43</v>
      </c>
      <c r="E60" s="10" t="s">
        <v>58</v>
      </c>
      <c r="G60" s="10" t="s">
        <v>337</v>
      </c>
      <c r="H60" s="10" t="s">
        <v>338</v>
      </c>
      <c r="K60" s="10" t="s">
        <v>48</v>
      </c>
    </row>
    <row r="61" spans="1:11" x14ac:dyDescent="0.2">
      <c r="A61" s="10" t="s">
        <v>339</v>
      </c>
      <c r="B61" s="10" t="s">
        <v>340</v>
      </c>
      <c r="C61" s="10" t="s">
        <v>341</v>
      </c>
      <c r="D61" s="10" t="s">
        <v>43</v>
      </c>
      <c r="E61" s="10" t="s">
        <v>342</v>
      </c>
      <c r="G61" s="10" t="s">
        <v>343</v>
      </c>
      <c r="H61" s="10" t="s">
        <v>344</v>
      </c>
      <c r="K61" s="10" t="s">
        <v>48</v>
      </c>
    </row>
    <row r="62" spans="1:11" x14ac:dyDescent="0.2">
      <c r="A62" s="10" t="s">
        <v>345</v>
      </c>
      <c r="B62" s="10" t="s">
        <v>346</v>
      </c>
      <c r="C62" s="10" t="s">
        <v>347</v>
      </c>
      <c r="D62" s="10" t="s">
        <v>43</v>
      </c>
      <c r="E62" s="10" t="s">
        <v>129</v>
      </c>
      <c r="G62" s="10" t="s">
        <v>348</v>
      </c>
      <c r="H62" s="10" t="s">
        <v>349</v>
      </c>
      <c r="K62" s="10" t="s">
        <v>48</v>
      </c>
    </row>
    <row r="63" spans="1:11" x14ac:dyDescent="0.2">
      <c r="A63" s="10" t="s">
        <v>350</v>
      </c>
      <c r="B63" s="10" t="s">
        <v>351</v>
      </c>
      <c r="C63" s="10" t="s">
        <v>352</v>
      </c>
      <c r="D63" s="10" t="s">
        <v>43</v>
      </c>
      <c r="E63" s="10" t="s">
        <v>353</v>
      </c>
      <c r="G63" s="10" t="s">
        <v>354</v>
      </c>
      <c r="H63" s="10" t="s">
        <v>355</v>
      </c>
      <c r="K63" s="10" t="s">
        <v>48</v>
      </c>
    </row>
    <row r="64" spans="1:11" x14ac:dyDescent="0.2">
      <c r="A64" s="10" t="s">
        <v>356</v>
      </c>
      <c r="B64" s="10" t="s">
        <v>357</v>
      </c>
      <c r="C64" s="10" t="s">
        <v>358</v>
      </c>
      <c r="D64" s="10" t="s">
        <v>43</v>
      </c>
      <c r="E64" s="10" t="s">
        <v>353</v>
      </c>
      <c r="G64" s="10" t="s">
        <v>359</v>
      </c>
      <c r="H64" s="10" t="s">
        <v>360</v>
      </c>
      <c r="K64" s="10" t="s">
        <v>48</v>
      </c>
    </row>
    <row r="65" spans="1:11" x14ac:dyDescent="0.2">
      <c r="A65" s="10" t="s">
        <v>361</v>
      </c>
      <c r="B65" s="10" t="s">
        <v>362</v>
      </c>
      <c r="C65" s="10" t="s">
        <v>363</v>
      </c>
      <c r="D65" s="10" t="s">
        <v>43</v>
      </c>
      <c r="E65" s="10" t="s">
        <v>364</v>
      </c>
      <c r="G65" s="10" t="s">
        <v>365</v>
      </c>
      <c r="H65" s="10" t="s">
        <v>366</v>
      </c>
      <c r="K65" s="10" t="s">
        <v>48</v>
      </c>
    </row>
    <row r="66" spans="1:11" x14ac:dyDescent="0.2">
      <c r="A66" s="10" t="s">
        <v>367</v>
      </c>
      <c r="B66" s="10" t="s">
        <v>368</v>
      </c>
      <c r="C66" s="10" t="s">
        <v>369</v>
      </c>
      <c r="D66" s="10" t="s">
        <v>43</v>
      </c>
      <c r="E66" s="10" t="s">
        <v>152</v>
      </c>
      <c r="G66" s="10" t="s">
        <v>370</v>
      </c>
      <c r="H66" s="10" t="s">
        <v>371</v>
      </c>
      <c r="K66" s="10" t="s">
        <v>48</v>
      </c>
    </row>
    <row r="67" spans="1:11" x14ac:dyDescent="0.2">
      <c r="A67" s="10" t="s">
        <v>372</v>
      </c>
      <c r="B67" s="10" t="s">
        <v>373</v>
      </c>
      <c r="C67" s="10" t="s">
        <v>374</v>
      </c>
      <c r="D67" s="10" t="s">
        <v>43</v>
      </c>
      <c r="E67" s="10" t="s">
        <v>375</v>
      </c>
      <c r="G67" s="10" t="s">
        <v>376</v>
      </c>
      <c r="H67" s="10" t="s">
        <v>377</v>
      </c>
      <c r="K67" s="10" t="s">
        <v>48</v>
      </c>
    </row>
    <row r="68" spans="1:11" x14ac:dyDescent="0.2">
      <c r="A68" s="10" t="s">
        <v>378</v>
      </c>
      <c r="B68" s="10" t="s">
        <v>379</v>
      </c>
      <c r="C68" s="10" t="s">
        <v>380</v>
      </c>
      <c r="D68" s="10" t="s">
        <v>43</v>
      </c>
      <c r="E68" s="10" t="s">
        <v>253</v>
      </c>
      <c r="G68" s="10" t="s">
        <v>381</v>
      </c>
      <c r="H68" s="10" t="s">
        <v>382</v>
      </c>
      <c r="K68" s="10" t="s">
        <v>48</v>
      </c>
    </row>
    <row r="69" spans="1:11" x14ac:dyDescent="0.2">
      <c r="A69" s="10" t="s">
        <v>383</v>
      </c>
      <c r="B69" s="10" t="s">
        <v>384</v>
      </c>
      <c r="C69" s="10" t="s">
        <v>385</v>
      </c>
      <c r="D69" s="10" t="s">
        <v>43</v>
      </c>
      <c r="E69" s="10" t="s">
        <v>321</v>
      </c>
      <c r="G69" s="10" t="s">
        <v>386</v>
      </c>
      <c r="H69" s="10" t="s">
        <v>387</v>
      </c>
      <c r="K69" s="10" t="s">
        <v>48</v>
      </c>
    </row>
    <row r="70" spans="1:11" x14ac:dyDescent="0.2">
      <c r="A70" s="10" t="s">
        <v>388</v>
      </c>
      <c r="B70" s="10" t="s">
        <v>389</v>
      </c>
      <c r="C70" s="10" t="s">
        <v>390</v>
      </c>
      <c r="D70" s="10" t="s">
        <v>43</v>
      </c>
      <c r="E70" s="10" t="s">
        <v>58</v>
      </c>
      <c r="G70" s="10" t="s">
        <v>391</v>
      </c>
      <c r="H70" s="10" t="s">
        <v>392</v>
      </c>
      <c r="K70" s="10" t="s">
        <v>48</v>
      </c>
    </row>
    <row r="71" spans="1:11" ht="51" x14ac:dyDescent="0.2">
      <c r="A71" s="10" t="s">
        <v>393</v>
      </c>
      <c r="B71" s="10" t="s">
        <v>394</v>
      </c>
      <c r="C71" s="10" t="s">
        <v>395</v>
      </c>
      <c r="D71" s="10" t="s">
        <v>43</v>
      </c>
      <c r="E71" s="10" t="s">
        <v>396</v>
      </c>
      <c r="G71" s="11" t="s">
        <v>397</v>
      </c>
      <c r="H71" s="11" t="s">
        <v>398</v>
      </c>
      <c r="I71" s="10" t="s">
        <v>399</v>
      </c>
      <c r="K71" s="10" t="s">
        <v>48</v>
      </c>
    </row>
    <row r="72" spans="1:11" x14ac:dyDescent="0.2">
      <c r="A72" s="10" t="s">
        <v>400</v>
      </c>
      <c r="B72" s="10" t="s">
        <v>401</v>
      </c>
      <c r="C72" s="10" t="s">
        <v>402</v>
      </c>
      <c r="D72" s="10" t="s">
        <v>43</v>
      </c>
      <c r="E72" s="10" t="s">
        <v>375</v>
      </c>
      <c r="G72" s="10" t="s">
        <v>403</v>
      </c>
      <c r="H72" s="10" t="s">
        <v>404</v>
      </c>
      <c r="K72" s="10" t="s">
        <v>48</v>
      </c>
    </row>
    <row r="73" spans="1:11" x14ac:dyDescent="0.2">
      <c r="A73" s="10" t="s">
        <v>405</v>
      </c>
      <c r="B73" s="10" t="s">
        <v>406</v>
      </c>
      <c r="C73" s="10" t="s">
        <v>407</v>
      </c>
      <c r="D73" s="10" t="s">
        <v>43</v>
      </c>
      <c r="E73" s="10" t="s">
        <v>66</v>
      </c>
      <c r="G73" s="10" t="s">
        <v>408</v>
      </c>
      <c r="H73" s="10" t="s">
        <v>409</v>
      </c>
      <c r="K73" s="10" t="s">
        <v>48</v>
      </c>
    </row>
    <row r="74" spans="1:11" x14ac:dyDescent="0.2">
      <c r="A74" s="10" t="s">
        <v>410</v>
      </c>
      <c r="B74" s="10" t="s">
        <v>411</v>
      </c>
      <c r="C74" s="10" t="s">
        <v>412</v>
      </c>
      <c r="D74" s="10" t="s">
        <v>43</v>
      </c>
      <c r="E74" s="10" t="s">
        <v>58</v>
      </c>
      <c r="G74" s="10" t="s">
        <v>413</v>
      </c>
      <c r="H74" s="10" t="s">
        <v>414</v>
      </c>
      <c r="K74" s="10" t="s">
        <v>48</v>
      </c>
    </row>
    <row r="75" spans="1:11" x14ac:dyDescent="0.2">
      <c r="A75" s="10" t="s">
        <v>415</v>
      </c>
      <c r="B75" s="10" t="s">
        <v>416</v>
      </c>
      <c r="C75" s="10" t="s">
        <v>417</v>
      </c>
      <c r="D75" s="10" t="s">
        <v>43</v>
      </c>
      <c r="E75" s="10" t="s">
        <v>342</v>
      </c>
      <c r="G75" s="10" t="s">
        <v>418</v>
      </c>
      <c r="H75" s="10" t="s">
        <v>419</v>
      </c>
      <c r="K75" s="10" t="s">
        <v>48</v>
      </c>
    </row>
    <row r="76" spans="1:11" x14ac:dyDescent="0.2">
      <c r="A76" s="10" t="s">
        <v>420</v>
      </c>
      <c r="B76" s="10" t="s">
        <v>421</v>
      </c>
      <c r="C76" s="10" t="s">
        <v>422</v>
      </c>
      <c r="D76" s="10" t="s">
        <v>43</v>
      </c>
      <c r="E76" s="10" t="s">
        <v>375</v>
      </c>
      <c r="G76" s="10" t="s">
        <v>423</v>
      </c>
      <c r="H76" s="10" t="s">
        <v>424</v>
      </c>
      <c r="K76" s="10" t="s">
        <v>48</v>
      </c>
    </row>
    <row r="77" spans="1:11" x14ac:dyDescent="0.2">
      <c r="A77" s="10" t="s">
        <v>425</v>
      </c>
      <c r="B77" s="10" t="s">
        <v>426</v>
      </c>
      <c r="C77" s="10" t="s">
        <v>427</v>
      </c>
      <c r="D77" s="10" t="s">
        <v>43</v>
      </c>
      <c r="E77" s="10" t="s">
        <v>123</v>
      </c>
      <c r="G77" s="10" t="s">
        <v>428</v>
      </c>
      <c r="H77" s="10" t="s">
        <v>429</v>
      </c>
      <c r="K77" s="10" t="s">
        <v>48</v>
      </c>
    </row>
    <row r="78" spans="1:11" x14ac:dyDescent="0.2">
      <c r="A78" s="10" t="s">
        <v>430</v>
      </c>
      <c r="B78" s="10" t="s">
        <v>431</v>
      </c>
      <c r="C78" s="10" t="s">
        <v>432</v>
      </c>
      <c r="D78" s="10" t="s">
        <v>43</v>
      </c>
      <c r="E78" s="10" t="s">
        <v>66</v>
      </c>
      <c r="G78" s="10" t="s">
        <v>433</v>
      </c>
      <c r="H78" s="10" t="s">
        <v>434</v>
      </c>
      <c r="K78" s="10" t="s">
        <v>48</v>
      </c>
    </row>
    <row r="79" spans="1:11" x14ac:dyDescent="0.2">
      <c r="A79" s="10" t="s">
        <v>435</v>
      </c>
      <c r="B79" s="10" t="s">
        <v>436</v>
      </c>
      <c r="C79" s="10" t="s">
        <v>437</v>
      </c>
      <c r="D79" s="10" t="s">
        <v>43</v>
      </c>
      <c r="E79" s="10" t="s">
        <v>438</v>
      </c>
      <c r="G79" s="10" t="s">
        <v>439</v>
      </c>
      <c r="H79" s="10" t="s">
        <v>440</v>
      </c>
      <c r="K79" s="10" t="s">
        <v>48</v>
      </c>
    </row>
    <row r="80" spans="1:11" x14ac:dyDescent="0.2">
      <c r="A80" s="10" t="s">
        <v>441</v>
      </c>
      <c r="B80" s="10" t="s">
        <v>442</v>
      </c>
      <c r="C80" s="10" t="s">
        <v>209</v>
      </c>
      <c r="D80" s="10" t="s">
        <v>43</v>
      </c>
      <c r="E80" s="10" t="s">
        <v>66</v>
      </c>
      <c r="G80" s="10" t="s">
        <v>443</v>
      </c>
      <c r="H80" s="10" t="s">
        <v>444</v>
      </c>
      <c r="K80" s="10" t="s">
        <v>48</v>
      </c>
    </row>
    <row r="81" spans="1:11" x14ac:dyDescent="0.2">
      <c r="A81" s="10" t="s">
        <v>445</v>
      </c>
      <c r="B81" s="10" t="s">
        <v>446</v>
      </c>
      <c r="C81" s="10" t="s">
        <v>447</v>
      </c>
      <c r="D81" s="10" t="s">
        <v>43</v>
      </c>
      <c r="E81" s="10" t="s">
        <v>448</v>
      </c>
      <c r="G81" s="10" t="s">
        <v>449</v>
      </c>
      <c r="H81" s="10" t="s">
        <v>450</v>
      </c>
      <c r="K81" s="10" t="s">
        <v>48</v>
      </c>
    </row>
    <row r="82" spans="1:11" x14ac:dyDescent="0.2">
      <c r="A82" s="10" t="s">
        <v>451</v>
      </c>
      <c r="B82" s="10" t="s">
        <v>452</v>
      </c>
      <c r="C82" s="10" t="s">
        <v>453</v>
      </c>
      <c r="D82" s="10" t="s">
        <v>43</v>
      </c>
      <c r="E82" s="10" t="s">
        <v>454</v>
      </c>
      <c r="G82" s="10" t="s">
        <v>455</v>
      </c>
      <c r="H82" s="10" t="s">
        <v>456</v>
      </c>
      <c r="K82" s="10" t="s">
        <v>48</v>
      </c>
    </row>
    <row r="83" spans="1:11" x14ac:dyDescent="0.2">
      <c r="A83" s="10" t="s">
        <v>457</v>
      </c>
      <c r="B83" s="10" t="s">
        <v>458</v>
      </c>
      <c r="C83" s="10" t="s">
        <v>459</v>
      </c>
      <c r="D83" s="10" t="s">
        <v>43</v>
      </c>
      <c r="E83" s="10" t="s">
        <v>460</v>
      </c>
      <c r="G83" s="10" t="s">
        <v>461</v>
      </c>
      <c r="H83" s="10" t="s">
        <v>462</v>
      </c>
      <c r="K83" s="10" t="s">
        <v>48</v>
      </c>
    </row>
    <row r="84" spans="1:11" x14ac:dyDescent="0.2">
      <c r="A84" s="10" t="s">
        <v>463</v>
      </c>
      <c r="B84" s="10" t="s">
        <v>464</v>
      </c>
      <c r="C84" s="10" t="s">
        <v>465</v>
      </c>
      <c r="D84" s="10" t="s">
        <v>43</v>
      </c>
      <c r="E84" s="10" t="s">
        <v>460</v>
      </c>
      <c r="G84" s="10" t="s">
        <v>466</v>
      </c>
      <c r="H84" s="10" t="s">
        <v>467</v>
      </c>
      <c r="K84" s="10" t="s">
        <v>48</v>
      </c>
    </row>
    <row r="85" spans="1:11" x14ac:dyDescent="0.2">
      <c r="A85" s="10" t="s">
        <v>468</v>
      </c>
      <c r="B85" s="10" t="s">
        <v>469</v>
      </c>
      <c r="C85" s="10" t="s">
        <v>470</v>
      </c>
      <c r="D85" s="10" t="s">
        <v>43</v>
      </c>
      <c r="E85" s="10" t="s">
        <v>66</v>
      </c>
      <c r="G85" s="10" t="s">
        <v>471</v>
      </c>
      <c r="H85" s="10" t="s">
        <v>472</v>
      </c>
      <c r="K85" s="10" t="s">
        <v>48</v>
      </c>
    </row>
    <row r="86" spans="1:11" x14ac:dyDescent="0.2">
      <c r="A86" s="10" t="s">
        <v>473</v>
      </c>
      <c r="B86" s="10" t="s">
        <v>474</v>
      </c>
      <c r="C86" s="10" t="s">
        <v>155</v>
      </c>
      <c r="D86" s="10" t="s">
        <v>43</v>
      </c>
      <c r="E86" s="10" t="s">
        <v>152</v>
      </c>
      <c r="G86" s="10" t="s">
        <v>475</v>
      </c>
      <c r="H86" s="10" t="s">
        <v>476</v>
      </c>
      <c r="K86" s="10" t="s">
        <v>48</v>
      </c>
    </row>
    <row r="87" spans="1:11" x14ac:dyDescent="0.2">
      <c r="A87" s="10" t="s">
        <v>477</v>
      </c>
      <c r="B87" s="10" t="s">
        <v>478</v>
      </c>
      <c r="C87" s="10" t="s">
        <v>479</v>
      </c>
      <c r="D87" s="10" t="s">
        <v>43</v>
      </c>
      <c r="E87" s="10" t="s">
        <v>58</v>
      </c>
      <c r="G87" s="10" t="s">
        <v>480</v>
      </c>
      <c r="H87" s="10" t="s">
        <v>481</v>
      </c>
      <c r="K87" s="10" t="s">
        <v>48</v>
      </c>
    </row>
    <row r="88" spans="1:11" x14ac:dyDescent="0.2">
      <c r="A88" s="10" t="s">
        <v>482</v>
      </c>
      <c r="B88" s="10" t="s">
        <v>483</v>
      </c>
      <c r="C88" s="10" t="s">
        <v>484</v>
      </c>
      <c r="D88" s="10" t="s">
        <v>43</v>
      </c>
      <c r="E88" s="10" t="s">
        <v>485</v>
      </c>
      <c r="G88" s="10" t="s">
        <v>486</v>
      </c>
      <c r="H88" s="10" t="s">
        <v>487</v>
      </c>
      <c r="K88" s="10" t="s">
        <v>48</v>
      </c>
    </row>
    <row r="89" spans="1:11" x14ac:dyDescent="0.2">
      <c r="A89" s="10" t="s">
        <v>488</v>
      </c>
      <c r="B89" s="10" t="s">
        <v>489</v>
      </c>
      <c r="C89" s="10" t="s">
        <v>490</v>
      </c>
      <c r="D89" s="10" t="s">
        <v>43</v>
      </c>
      <c r="E89" s="10" t="s">
        <v>491</v>
      </c>
      <c r="G89" s="10" t="s">
        <v>492</v>
      </c>
      <c r="H89" s="10" t="s">
        <v>493</v>
      </c>
      <c r="K89" s="10" t="s">
        <v>48</v>
      </c>
    </row>
    <row r="90" spans="1:11" x14ac:dyDescent="0.2">
      <c r="A90" s="10" t="s">
        <v>494</v>
      </c>
      <c r="B90" s="10" t="s">
        <v>495</v>
      </c>
      <c r="C90" s="10" t="s">
        <v>496</v>
      </c>
      <c r="D90" s="10" t="s">
        <v>43</v>
      </c>
      <c r="E90" s="10" t="s">
        <v>129</v>
      </c>
      <c r="G90" s="10" t="s">
        <v>497</v>
      </c>
      <c r="H90" s="10" t="s">
        <v>498</v>
      </c>
      <c r="K90" s="10" t="s">
        <v>48</v>
      </c>
    </row>
    <row r="91" spans="1:11" x14ac:dyDescent="0.2">
      <c r="A91" s="10" t="s">
        <v>499</v>
      </c>
      <c r="B91" s="10" t="s">
        <v>500</v>
      </c>
      <c r="C91" s="10" t="s">
        <v>501</v>
      </c>
      <c r="D91" s="10" t="s">
        <v>43</v>
      </c>
      <c r="E91" s="10" t="s">
        <v>58</v>
      </c>
      <c r="G91" s="10" t="s">
        <v>502</v>
      </c>
      <c r="H91" s="10" t="s">
        <v>503</v>
      </c>
      <c r="K91" s="10" t="s">
        <v>48</v>
      </c>
    </row>
    <row r="92" spans="1:11" x14ac:dyDescent="0.2">
      <c r="A92" s="10" t="s">
        <v>504</v>
      </c>
      <c r="B92" s="10" t="s">
        <v>505</v>
      </c>
      <c r="C92" s="10" t="s">
        <v>506</v>
      </c>
      <c r="D92" s="10" t="s">
        <v>43</v>
      </c>
      <c r="E92" s="10" t="s">
        <v>89</v>
      </c>
      <c r="G92" s="10" t="s">
        <v>507</v>
      </c>
      <c r="H92" s="10" t="s">
        <v>508</v>
      </c>
      <c r="K92" s="10" t="s">
        <v>48</v>
      </c>
    </row>
    <row r="93" spans="1:11" x14ac:dyDescent="0.2">
      <c r="A93" s="10" t="s">
        <v>509</v>
      </c>
      <c r="B93" s="10" t="s">
        <v>510</v>
      </c>
      <c r="C93" s="10" t="s">
        <v>511</v>
      </c>
      <c r="D93" s="10" t="s">
        <v>43</v>
      </c>
      <c r="E93" s="10" t="s">
        <v>375</v>
      </c>
      <c r="G93" s="10" t="s">
        <v>512</v>
      </c>
      <c r="H93" s="10" t="s">
        <v>513</v>
      </c>
      <c r="K93" s="10" t="s">
        <v>48</v>
      </c>
    </row>
    <row r="94" spans="1:11" x14ac:dyDescent="0.2">
      <c r="A94" s="10" t="s">
        <v>514</v>
      </c>
      <c r="B94" s="10" t="s">
        <v>515</v>
      </c>
      <c r="C94" s="10" t="s">
        <v>516</v>
      </c>
      <c r="D94" s="10" t="s">
        <v>43</v>
      </c>
      <c r="E94" s="10" t="s">
        <v>517</v>
      </c>
      <c r="G94" s="10" t="s">
        <v>518</v>
      </c>
      <c r="H94" s="10" t="s">
        <v>519</v>
      </c>
      <c r="K94" s="10" t="s">
        <v>48</v>
      </c>
    </row>
    <row r="95" spans="1:11" x14ac:dyDescent="0.2">
      <c r="A95" s="10" t="s">
        <v>520</v>
      </c>
      <c r="B95" s="10" t="s">
        <v>521</v>
      </c>
      <c r="C95" s="10" t="s">
        <v>522</v>
      </c>
      <c r="D95" s="10" t="s">
        <v>43</v>
      </c>
      <c r="E95" s="10" t="s">
        <v>523</v>
      </c>
      <c r="G95" s="10" t="s">
        <v>524</v>
      </c>
      <c r="H95" s="10" t="s">
        <v>525</v>
      </c>
      <c r="K95" s="10" t="s">
        <v>48</v>
      </c>
    </row>
    <row r="96" spans="1:11" x14ac:dyDescent="0.2">
      <c r="A96" s="10" t="s">
        <v>526</v>
      </c>
      <c r="B96" s="10" t="s">
        <v>527</v>
      </c>
      <c r="C96" s="10" t="s">
        <v>528</v>
      </c>
      <c r="D96" s="10" t="s">
        <v>43</v>
      </c>
      <c r="E96" s="10" t="s">
        <v>152</v>
      </c>
      <c r="G96" s="10" t="s">
        <v>529</v>
      </c>
      <c r="H96" s="10" t="s">
        <v>530</v>
      </c>
      <c r="K96" s="10" t="s">
        <v>48</v>
      </c>
    </row>
    <row r="97" spans="1:11" ht="68" x14ac:dyDescent="0.2">
      <c r="A97" s="10" t="s">
        <v>531</v>
      </c>
      <c r="B97" s="10" t="s">
        <v>532</v>
      </c>
      <c r="C97" s="10" t="s">
        <v>533</v>
      </c>
      <c r="D97" s="10" t="s">
        <v>43</v>
      </c>
      <c r="E97" s="10" t="s">
        <v>300</v>
      </c>
      <c r="G97" s="10" t="s">
        <v>534</v>
      </c>
      <c r="H97" s="11" t="s">
        <v>535</v>
      </c>
      <c r="I97" s="10" t="s">
        <v>536</v>
      </c>
      <c r="J97" s="10" t="s">
        <v>537</v>
      </c>
      <c r="K97" s="10" t="s">
        <v>48</v>
      </c>
    </row>
    <row r="98" spans="1:11" x14ac:dyDescent="0.2">
      <c r="A98" s="10" t="s">
        <v>538</v>
      </c>
      <c r="B98" s="10" t="s">
        <v>539</v>
      </c>
      <c r="C98" s="10" t="s">
        <v>540</v>
      </c>
      <c r="D98" s="10" t="s">
        <v>43</v>
      </c>
      <c r="E98" s="10" t="s">
        <v>152</v>
      </c>
      <c r="G98" s="10" t="s">
        <v>541</v>
      </c>
      <c r="H98" s="10" t="s">
        <v>542</v>
      </c>
      <c r="K98" s="10" t="s">
        <v>48</v>
      </c>
    </row>
    <row r="99" spans="1:11" x14ac:dyDescent="0.2">
      <c r="A99" s="10" t="s">
        <v>543</v>
      </c>
      <c r="B99" s="10" t="s">
        <v>544</v>
      </c>
      <c r="C99" s="10" t="s">
        <v>545</v>
      </c>
      <c r="D99" s="10" t="s">
        <v>43</v>
      </c>
      <c r="E99" s="10" t="s">
        <v>448</v>
      </c>
      <c r="H99" s="10" t="s">
        <v>546</v>
      </c>
      <c r="K99" s="10" t="s">
        <v>48</v>
      </c>
    </row>
    <row r="100" spans="1:11" x14ac:dyDescent="0.2">
      <c r="A100" s="10" t="s">
        <v>547</v>
      </c>
      <c r="B100" s="10" t="s">
        <v>548</v>
      </c>
      <c r="C100" s="10" t="s">
        <v>549</v>
      </c>
      <c r="D100" s="10" t="s">
        <v>43</v>
      </c>
      <c r="E100" s="10" t="s">
        <v>268</v>
      </c>
      <c r="G100" s="10" t="s">
        <v>550</v>
      </c>
      <c r="H100" s="10" t="s">
        <v>551</v>
      </c>
      <c r="K100" s="10" t="s">
        <v>48</v>
      </c>
    </row>
    <row r="101" spans="1:11" x14ac:dyDescent="0.2">
      <c r="A101" s="10" t="s">
        <v>552</v>
      </c>
      <c r="B101" s="10" t="s">
        <v>553</v>
      </c>
      <c r="C101" s="10" t="s">
        <v>294</v>
      </c>
      <c r="D101" s="10" t="s">
        <v>43</v>
      </c>
      <c r="E101" s="10" t="s">
        <v>554</v>
      </c>
      <c r="G101" s="10" t="s">
        <v>555</v>
      </c>
      <c r="H101" s="10" t="s">
        <v>556</v>
      </c>
      <c r="K101" s="10" t="s">
        <v>48</v>
      </c>
    </row>
    <row r="102" spans="1:11" x14ac:dyDescent="0.2">
      <c r="A102" s="10" t="s">
        <v>557</v>
      </c>
      <c r="B102" s="10" t="s">
        <v>558</v>
      </c>
      <c r="C102" s="10" t="s">
        <v>559</v>
      </c>
      <c r="D102" s="10" t="s">
        <v>43</v>
      </c>
      <c r="E102" s="10" t="s">
        <v>66</v>
      </c>
      <c r="G102" s="10" t="s">
        <v>560</v>
      </c>
      <c r="H102" s="10" t="s">
        <v>561</v>
      </c>
      <c r="K102" s="10" t="s">
        <v>48</v>
      </c>
    </row>
    <row r="103" spans="1:11" x14ac:dyDescent="0.2">
      <c r="A103" s="10" t="s">
        <v>562</v>
      </c>
      <c r="B103" s="10" t="s">
        <v>563</v>
      </c>
      <c r="C103" s="10" t="s">
        <v>564</v>
      </c>
      <c r="D103" s="10" t="s">
        <v>43</v>
      </c>
      <c r="E103" s="10" t="s">
        <v>152</v>
      </c>
      <c r="G103" s="10" t="s">
        <v>565</v>
      </c>
      <c r="H103" s="10" t="s">
        <v>566</v>
      </c>
      <c r="K103" s="10" t="s">
        <v>48</v>
      </c>
    </row>
    <row r="104" spans="1:11" x14ac:dyDescent="0.2">
      <c r="A104" s="10" t="s">
        <v>567</v>
      </c>
      <c r="B104" s="10" t="s">
        <v>568</v>
      </c>
      <c r="C104" s="10" t="s">
        <v>569</v>
      </c>
      <c r="D104" s="10" t="s">
        <v>43</v>
      </c>
      <c r="E104" s="10" t="s">
        <v>152</v>
      </c>
      <c r="G104" s="10" t="s">
        <v>570</v>
      </c>
      <c r="H104" s="10" t="s">
        <v>571</v>
      </c>
      <c r="K104" s="10" t="s">
        <v>48</v>
      </c>
    </row>
    <row r="105" spans="1:11" x14ac:dyDescent="0.2">
      <c r="A105" s="10" t="s">
        <v>572</v>
      </c>
      <c r="B105" s="10" t="s">
        <v>573</v>
      </c>
      <c r="C105" s="10" t="s">
        <v>574</v>
      </c>
      <c r="D105" s="10" t="s">
        <v>43</v>
      </c>
      <c r="E105" s="10" t="s">
        <v>289</v>
      </c>
      <c r="G105" s="10" t="s">
        <v>575</v>
      </c>
      <c r="H105" s="10" t="s">
        <v>576</v>
      </c>
      <c r="K105" s="10" t="s">
        <v>48</v>
      </c>
    </row>
    <row r="106" spans="1:11" x14ac:dyDescent="0.2">
      <c r="A106" s="10" t="s">
        <v>577</v>
      </c>
      <c r="B106" s="10" t="s">
        <v>578</v>
      </c>
      <c r="C106" s="10" t="s">
        <v>579</v>
      </c>
      <c r="D106" s="10" t="s">
        <v>43</v>
      </c>
      <c r="E106" s="10" t="s">
        <v>89</v>
      </c>
      <c r="G106" s="10" t="s">
        <v>580</v>
      </c>
      <c r="H106" s="10" t="s">
        <v>581</v>
      </c>
      <c r="K106" s="10" t="s">
        <v>48</v>
      </c>
    </row>
    <row r="107" spans="1:11" x14ac:dyDescent="0.2">
      <c r="A107" s="10" t="s">
        <v>582</v>
      </c>
      <c r="B107" s="10" t="s">
        <v>583</v>
      </c>
      <c r="C107" s="10" t="s">
        <v>82</v>
      </c>
      <c r="D107" s="10" t="s">
        <v>43</v>
      </c>
      <c r="E107" s="10" t="s">
        <v>342</v>
      </c>
      <c r="G107" s="10" t="s">
        <v>584</v>
      </c>
      <c r="H107" s="10" t="s">
        <v>585</v>
      </c>
      <c r="K107" s="10" t="s">
        <v>48</v>
      </c>
    </row>
    <row r="108" spans="1:11" x14ac:dyDescent="0.2">
      <c r="A108" s="10" t="s">
        <v>586</v>
      </c>
      <c r="B108" s="10" t="s">
        <v>587</v>
      </c>
      <c r="C108" s="10" t="s">
        <v>588</v>
      </c>
      <c r="D108" s="10" t="s">
        <v>43</v>
      </c>
      <c r="E108" s="10" t="s">
        <v>589</v>
      </c>
      <c r="G108" s="10" t="s">
        <v>590</v>
      </c>
      <c r="H108" s="10" t="s">
        <v>591</v>
      </c>
      <c r="K108" s="10" t="s">
        <v>48</v>
      </c>
    </row>
    <row r="109" spans="1:11" x14ac:dyDescent="0.2">
      <c r="A109" s="10" t="s">
        <v>592</v>
      </c>
      <c r="B109" s="10" t="s">
        <v>593</v>
      </c>
      <c r="C109" s="10" t="s">
        <v>594</v>
      </c>
      <c r="D109" s="10" t="s">
        <v>43</v>
      </c>
      <c r="E109" s="10" t="s">
        <v>595</v>
      </c>
      <c r="G109" s="10" t="s">
        <v>295</v>
      </c>
      <c r="H109" s="10" t="s">
        <v>596</v>
      </c>
      <c r="K109" s="10" t="s">
        <v>48</v>
      </c>
    </row>
    <row r="110" spans="1:11" x14ac:dyDescent="0.2">
      <c r="A110" s="10" t="s">
        <v>597</v>
      </c>
      <c r="B110" s="10" t="s">
        <v>598</v>
      </c>
      <c r="C110" s="10" t="s">
        <v>599</v>
      </c>
      <c r="D110" s="10" t="s">
        <v>43</v>
      </c>
      <c r="E110" s="10" t="s">
        <v>66</v>
      </c>
      <c r="G110" s="10" t="s">
        <v>600</v>
      </c>
      <c r="H110" s="10" t="s">
        <v>601</v>
      </c>
      <c r="K110" s="10" t="s">
        <v>48</v>
      </c>
    </row>
    <row r="111" spans="1:11" x14ac:dyDescent="0.2">
      <c r="A111" s="10" t="s">
        <v>602</v>
      </c>
      <c r="B111" s="10" t="s">
        <v>603</v>
      </c>
      <c r="C111" s="10" t="s">
        <v>604</v>
      </c>
      <c r="D111" s="10" t="s">
        <v>43</v>
      </c>
      <c r="E111" s="10" t="s">
        <v>589</v>
      </c>
      <c r="G111" s="10" t="s">
        <v>605</v>
      </c>
      <c r="H111" s="10" t="s">
        <v>606</v>
      </c>
      <c r="K111" s="10" t="s">
        <v>48</v>
      </c>
    </row>
    <row r="112" spans="1:11" x14ac:dyDescent="0.2">
      <c r="A112" s="10" t="s">
        <v>607</v>
      </c>
      <c r="B112" s="10" t="s">
        <v>608</v>
      </c>
      <c r="C112" s="10" t="s">
        <v>609</v>
      </c>
      <c r="D112" s="10" t="s">
        <v>43</v>
      </c>
      <c r="E112" s="10" t="s">
        <v>89</v>
      </c>
      <c r="G112" s="10" t="s">
        <v>610</v>
      </c>
      <c r="H112" s="10" t="s">
        <v>611</v>
      </c>
      <c r="K112" s="10" t="s">
        <v>48</v>
      </c>
    </row>
    <row r="113" spans="1:11" x14ac:dyDescent="0.2">
      <c r="A113" s="10" t="s">
        <v>612</v>
      </c>
      <c r="B113" s="10" t="s">
        <v>613</v>
      </c>
      <c r="C113" s="10" t="s">
        <v>380</v>
      </c>
      <c r="D113" s="10" t="s">
        <v>43</v>
      </c>
      <c r="E113" s="10" t="s">
        <v>44</v>
      </c>
      <c r="G113" s="10" t="s">
        <v>614</v>
      </c>
      <c r="H113" s="10" t="s">
        <v>615</v>
      </c>
      <c r="K113" s="10" t="s">
        <v>48</v>
      </c>
    </row>
    <row r="114" spans="1:11" x14ac:dyDescent="0.2">
      <c r="A114" s="10" t="s">
        <v>616</v>
      </c>
      <c r="B114" s="10" t="s">
        <v>617</v>
      </c>
      <c r="C114" s="10" t="s">
        <v>618</v>
      </c>
      <c r="D114" s="10" t="s">
        <v>43</v>
      </c>
      <c r="E114" s="10" t="s">
        <v>619</v>
      </c>
      <c r="G114" s="10" t="s">
        <v>620</v>
      </c>
      <c r="H114" s="10" t="s">
        <v>621</v>
      </c>
      <c r="K114" s="10" t="s">
        <v>48</v>
      </c>
    </row>
    <row r="115" spans="1:11" ht="102" x14ac:dyDescent="0.2">
      <c r="A115" s="10" t="s">
        <v>622</v>
      </c>
      <c r="B115" s="10" t="s">
        <v>623</v>
      </c>
      <c r="C115" s="10" t="s">
        <v>624</v>
      </c>
      <c r="D115" s="10" t="s">
        <v>43</v>
      </c>
      <c r="E115" s="10" t="s">
        <v>129</v>
      </c>
      <c r="G115" s="10" t="s">
        <v>625</v>
      </c>
      <c r="H115" s="11" t="s">
        <v>626</v>
      </c>
      <c r="I115" s="10">
        <v>-16678166221</v>
      </c>
      <c r="J115" s="10" t="s">
        <v>627</v>
      </c>
      <c r="K115" s="10" t="s">
        <v>48</v>
      </c>
    </row>
    <row r="116" spans="1:11" x14ac:dyDescent="0.2">
      <c r="A116" s="10" t="s">
        <v>628</v>
      </c>
      <c r="B116" s="10" t="s">
        <v>629</v>
      </c>
      <c r="C116" s="10" t="s">
        <v>630</v>
      </c>
      <c r="D116" s="10" t="s">
        <v>43</v>
      </c>
      <c r="E116" s="10" t="s">
        <v>66</v>
      </c>
      <c r="G116" s="10" t="s">
        <v>631</v>
      </c>
      <c r="H116" s="10" t="s">
        <v>632</v>
      </c>
      <c r="K116" s="10" t="s">
        <v>48</v>
      </c>
    </row>
    <row r="117" spans="1:11" x14ac:dyDescent="0.2">
      <c r="A117" s="10" t="s">
        <v>633</v>
      </c>
      <c r="B117" s="10" t="s">
        <v>634</v>
      </c>
      <c r="C117" s="10" t="s">
        <v>635</v>
      </c>
      <c r="D117" s="10" t="s">
        <v>43</v>
      </c>
      <c r="E117" s="10" t="s">
        <v>247</v>
      </c>
      <c r="G117" s="10" t="s">
        <v>636</v>
      </c>
      <c r="H117" s="10" t="s">
        <v>637</v>
      </c>
      <c r="K117" s="10" t="s">
        <v>48</v>
      </c>
    </row>
    <row r="118" spans="1:11" x14ac:dyDescent="0.2">
      <c r="A118" s="10" t="s">
        <v>638</v>
      </c>
      <c r="B118" s="10" t="s">
        <v>639</v>
      </c>
      <c r="C118" s="10" t="s">
        <v>640</v>
      </c>
      <c r="D118" s="10" t="s">
        <v>43</v>
      </c>
      <c r="E118" s="10" t="s">
        <v>66</v>
      </c>
      <c r="G118" s="10" t="s">
        <v>641</v>
      </c>
      <c r="H118" s="10" t="s">
        <v>642</v>
      </c>
      <c r="J118" s="10" t="s">
        <v>643</v>
      </c>
      <c r="K118" s="10" t="s">
        <v>48</v>
      </c>
    </row>
    <row r="119" spans="1:11" x14ac:dyDescent="0.2">
      <c r="A119" s="10" t="s">
        <v>644</v>
      </c>
      <c r="B119" s="10" t="s">
        <v>645</v>
      </c>
      <c r="C119" s="10" t="s">
        <v>646</v>
      </c>
      <c r="D119" s="10" t="s">
        <v>43</v>
      </c>
      <c r="E119" s="10" t="s">
        <v>58</v>
      </c>
      <c r="G119" s="10" t="s">
        <v>647</v>
      </c>
      <c r="H119" s="10" t="s">
        <v>648</v>
      </c>
      <c r="K119" s="10" t="s">
        <v>48</v>
      </c>
    </row>
    <row r="120" spans="1:11" x14ac:dyDescent="0.2">
      <c r="A120" s="10" t="s">
        <v>649</v>
      </c>
      <c r="B120" s="10" t="s">
        <v>650</v>
      </c>
      <c r="C120" s="10" t="s">
        <v>651</v>
      </c>
      <c r="D120" s="10" t="s">
        <v>43</v>
      </c>
      <c r="E120" s="10" t="s">
        <v>652</v>
      </c>
      <c r="G120" s="10" t="s">
        <v>653</v>
      </c>
      <c r="H120" s="10" t="s">
        <v>654</v>
      </c>
      <c r="I120" s="10" t="s">
        <v>655</v>
      </c>
      <c r="J120" s="10" t="s">
        <v>656</v>
      </c>
      <c r="K120" s="10" t="s">
        <v>48</v>
      </c>
    </row>
    <row r="121" spans="1:11" x14ac:dyDescent="0.2">
      <c r="A121" s="10" t="s">
        <v>657</v>
      </c>
      <c r="B121" s="10" t="s">
        <v>658</v>
      </c>
      <c r="C121" s="10" t="s">
        <v>659</v>
      </c>
      <c r="D121" s="10" t="s">
        <v>43</v>
      </c>
      <c r="E121" s="10" t="s">
        <v>660</v>
      </c>
      <c r="G121" s="10" t="s">
        <v>661</v>
      </c>
      <c r="H121" s="10" t="s">
        <v>662</v>
      </c>
      <c r="K121" s="10" t="s">
        <v>48</v>
      </c>
    </row>
    <row r="122" spans="1:11" x14ac:dyDescent="0.2">
      <c r="A122" s="10" t="s">
        <v>663</v>
      </c>
      <c r="B122" s="10" t="s">
        <v>664</v>
      </c>
      <c r="C122" s="10" t="s">
        <v>665</v>
      </c>
      <c r="D122" s="10" t="s">
        <v>43</v>
      </c>
      <c r="E122" s="10" t="s">
        <v>491</v>
      </c>
      <c r="G122" s="10" t="s">
        <v>666</v>
      </c>
      <c r="H122" s="10" t="s">
        <v>667</v>
      </c>
      <c r="K122" s="10" t="s">
        <v>48</v>
      </c>
    </row>
    <row r="123" spans="1:11" x14ac:dyDescent="0.2">
      <c r="A123" s="10" t="s">
        <v>668</v>
      </c>
      <c r="B123" s="10" t="s">
        <v>669</v>
      </c>
      <c r="C123" s="10" t="s">
        <v>670</v>
      </c>
      <c r="D123" s="10" t="s">
        <v>43</v>
      </c>
      <c r="E123" s="10" t="s">
        <v>454</v>
      </c>
      <c r="G123" s="10" t="s">
        <v>671</v>
      </c>
      <c r="H123" s="10" t="s">
        <v>672</v>
      </c>
      <c r="K123" s="10" t="s">
        <v>48</v>
      </c>
    </row>
    <row r="124" spans="1:11" x14ac:dyDescent="0.2">
      <c r="A124" s="10" t="s">
        <v>673</v>
      </c>
      <c r="B124" s="10" t="s">
        <v>674</v>
      </c>
      <c r="C124" s="10" t="s">
        <v>675</v>
      </c>
      <c r="D124" s="10" t="s">
        <v>43</v>
      </c>
      <c r="E124" s="10" t="s">
        <v>375</v>
      </c>
      <c r="G124" s="10" t="s">
        <v>676</v>
      </c>
      <c r="H124" s="10" t="s">
        <v>677</v>
      </c>
      <c r="K124" s="10" t="s">
        <v>48</v>
      </c>
    </row>
    <row r="125" spans="1:11" x14ac:dyDescent="0.2">
      <c r="A125" s="10" t="s">
        <v>678</v>
      </c>
      <c r="B125" s="10" t="s">
        <v>679</v>
      </c>
      <c r="C125" s="10" t="s">
        <v>680</v>
      </c>
      <c r="D125" s="10" t="s">
        <v>43</v>
      </c>
      <c r="E125" s="10" t="s">
        <v>89</v>
      </c>
      <c r="G125" s="10" t="s">
        <v>681</v>
      </c>
      <c r="H125" s="10" t="s">
        <v>682</v>
      </c>
      <c r="K125" s="10" t="s">
        <v>48</v>
      </c>
    </row>
    <row r="126" spans="1:11" x14ac:dyDescent="0.2">
      <c r="A126" s="10" t="s">
        <v>683</v>
      </c>
      <c r="B126" s="10" t="s">
        <v>684</v>
      </c>
      <c r="C126" s="10" t="s">
        <v>685</v>
      </c>
      <c r="D126" s="10" t="s">
        <v>43</v>
      </c>
      <c r="E126" s="10" t="s">
        <v>289</v>
      </c>
      <c r="G126" s="10" t="s">
        <v>686</v>
      </c>
      <c r="H126" s="10" t="s">
        <v>687</v>
      </c>
      <c r="K126" s="10" t="s">
        <v>48</v>
      </c>
    </row>
    <row r="127" spans="1:11" x14ac:dyDescent="0.2">
      <c r="A127" s="10" t="s">
        <v>688</v>
      </c>
      <c r="B127" s="10" t="s">
        <v>689</v>
      </c>
      <c r="C127" s="10" t="s">
        <v>690</v>
      </c>
      <c r="D127" s="10" t="s">
        <v>43</v>
      </c>
      <c r="E127" s="10" t="s">
        <v>66</v>
      </c>
      <c r="G127" s="10" t="s">
        <v>691</v>
      </c>
      <c r="H127" s="10" t="s">
        <v>692</v>
      </c>
      <c r="K127" s="10" t="s">
        <v>48</v>
      </c>
    </row>
    <row r="128" spans="1:11" ht="102" x14ac:dyDescent="0.2">
      <c r="A128" s="10" t="s">
        <v>693</v>
      </c>
      <c r="B128" s="10" t="s">
        <v>694</v>
      </c>
      <c r="C128" s="10" t="s">
        <v>695</v>
      </c>
      <c r="D128" s="10" t="s">
        <v>43</v>
      </c>
      <c r="E128" s="10" t="s">
        <v>152</v>
      </c>
      <c r="G128" s="10" t="s">
        <v>696</v>
      </c>
      <c r="H128" s="11" t="s">
        <v>697</v>
      </c>
      <c r="I128" s="10">
        <v>-15706888169</v>
      </c>
      <c r="J128" s="10" t="s">
        <v>698</v>
      </c>
      <c r="K128" s="10" t="s">
        <v>48</v>
      </c>
    </row>
    <row r="129" spans="1:12" x14ac:dyDescent="0.2">
      <c r="A129" s="10" t="s">
        <v>699</v>
      </c>
      <c r="B129" s="10" t="s">
        <v>700</v>
      </c>
      <c r="C129" s="10" t="s">
        <v>701</v>
      </c>
      <c r="D129" s="10" t="s">
        <v>43</v>
      </c>
      <c r="E129" s="10" t="s">
        <v>58</v>
      </c>
      <c r="G129" s="10" t="s">
        <v>354</v>
      </c>
      <c r="H129" s="10" t="s">
        <v>702</v>
      </c>
      <c r="K129" s="10" t="s">
        <v>48</v>
      </c>
    </row>
    <row r="130" spans="1:12" x14ac:dyDescent="0.2">
      <c r="A130" s="10" t="s">
        <v>703</v>
      </c>
      <c r="B130" s="10" t="s">
        <v>704</v>
      </c>
      <c r="C130" s="10" t="s">
        <v>705</v>
      </c>
      <c r="D130" s="10" t="s">
        <v>43</v>
      </c>
      <c r="E130" s="10" t="s">
        <v>58</v>
      </c>
      <c r="G130" s="10" t="s">
        <v>706</v>
      </c>
      <c r="H130" s="10" t="s">
        <v>707</v>
      </c>
      <c r="K130" s="10" t="s">
        <v>48</v>
      </c>
    </row>
    <row r="131" spans="1:12" x14ac:dyDescent="0.2">
      <c r="A131" s="10" t="s">
        <v>708</v>
      </c>
      <c r="B131" s="10" t="s">
        <v>709</v>
      </c>
      <c r="C131" s="10" t="s">
        <v>710</v>
      </c>
      <c r="D131" s="10" t="s">
        <v>43</v>
      </c>
      <c r="E131" s="10" t="s">
        <v>711</v>
      </c>
      <c r="G131" s="10" t="s">
        <v>712</v>
      </c>
      <c r="H131" s="10" t="s">
        <v>713</v>
      </c>
      <c r="K131" s="10" t="s">
        <v>48</v>
      </c>
    </row>
    <row r="132" spans="1:12" x14ac:dyDescent="0.2">
      <c r="A132" s="10" t="s">
        <v>714</v>
      </c>
      <c r="B132" s="10" t="s">
        <v>715</v>
      </c>
      <c r="C132" s="10" t="s">
        <v>716</v>
      </c>
      <c r="D132" s="10" t="s">
        <v>43</v>
      </c>
      <c r="E132" s="10" t="s">
        <v>717</v>
      </c>
      <c r="G132" s="10" t="s">
        <v>718</v>
      </c>
      <c r="H132" s="10" t="s">
        <v>719</v>
      </c>
      <c r="K132" s="10" t="s">
        <v>48</v>
      </c>
    </row>
    <row r="133" spans="1:12" x14ac:dyDescent="0.2">
      <c r="A133" s="10" t="s">
        <v>720</v>
      </c>
      <c r="B133" s="10" t="s">
        <v>721</v>
      </c>
      <c r="C133" s="10" t="s">
        <v>722</v>
      </c>
      <c r="D133" s="10" t="s">
        <v>43</v>
      </c>
      <c r="E133" s="10" t="s">
        <v>66</v>
      </c>
      <c r="H133" s="10" t="s">
        <v>723</v>
      </c>
      <c r="K133" s="10" t="s">
        <v>48</v>
      </c>
    </row>
    <row r="134" spans="1:12" x14ac:dyDescent="0.2">
      <c r="A134" s="10" t="s">
        <v>724</v>
      </c>
      <c r="B134" s="10" t="s">
        <v>725</v>
      </c>
      <c r="C134" s="10" t="s">
        <v>726</v>
      </c>
      <c r="D134" s="10" t="s">
        <v>43</v>
      </c>
      <c r="E134" s="10" t="s">
        <v>58</v>
      </c>
      <c r="G134" s="10" t="s">
        <v>727</v>
      </c>
      <c r="H134" s="10" t="s">
        <v>728</v>
      </c>
      <c r="K134" s="10" t="s">
        <v>48</v>
      </c>
    </row>
    <row r="135" spans="1:12" x14ac:dyDescent="0.2">
      <c r="A135" s="10" t="s">
        <v>729</v>
      </c>
      <c r="B135" s="10" t="s">
        <v>730</v>
      </c>
      <c r="C135" s="10" t="s">
        <v>731</v>
      </c>
      <c r="D135" s="10" t="s">
        <v>43</v>
      </c>
      <c r="E135" s="10" t="s">
        <v>58</v>
      </c>
      <c r="G135" s="10" t="s">
        <v>732</v>
      </c>
      <c r="H135" s="10" t="s">
        <v>733</v>
      </c>
      <c r="K135" s="10" t="s">
        <v>48</v>
      </c>
    </row>
    <row r="136" spans="1:12" x14ac:dyDescent="0.2">
      <c r="A136" s="10" t="s">
        <v>734</v>
      </c>
      <c r="B136" s="10" t="s">
        <v>735</v>
      </c>
      <c r="C136" s="10" t="s">
        <v>736</v>
      </c>
      <c r="D136" s="10" t="s">
        <v>43</v>
      </c>
      <c r="E136" s="10" t="s">
        <v>58</v>
      </c>
      <c r="G136" s="10" t="s">
        <v>737</v>
      </c>
      <c r="H136" s="10" t="s">
        <v>738</v>
      </c>
      <c r="K136" s="10" t="s">
        <v>48</v>
      </c>
    </row>
    <row r="137" spans="1:12" x14ac:dyDescent="0.2">
      <c r="A137" s="10" t="s">
        <v>739</v>
      </c>
      <c r="C137" s="10" t="s">
        <v>740</v>
      </c>
      <c r="D137" s="10" t="s">
        <v>43</v>
      </c>
      <c r="E137" s="10" t="s">
        <v>58</v>
      </c>
      <c r="G137" s="10" t="s">
        <v>741</v>
      </c>
      <c r="H137" s="10" t="s">
        <v>742</v>
      </c>
      <c r="K137" s="10" t="s">
        <v>48</v>
      </c>
    </row>
    <row r="138" spans="1:12" x14ac:dyDescent="0.2">
      <c r="A138" s="10" t="s">
        <v>743</v>
      </c>
      <c r="B138" s="10" t="s">
        <v>744</v>
      </c>
      <c r="C138" s="10" t="s">
        <v>745</v>
      </c>
      <c r="D138" s="10" t="s">
        <v>43</v>
      </c>
      <c r="E138" s="10" t="s">
        <v>66</v>
      </c>
      <c r="G138" s="10" t="s">
        <v>746</v>
      </c>
      <c r="H138" s="10" t="s">
        <v>747</v>
      </c>
      <c r="K138" s="10" t="s">
        <v>48</v>
      </c>
    </row>
    <row r="139" spans="1:12" x14ac:dyDescent="0.2">
      <c r="A139" s="10" t="s">
        <v>748</v>
      </c>
      <c r="B139" s="10" t="s">
        <v>749</v>
      </c>
      <c r="C139" s="10" t="s">
        <v>750</v>
      </c>
      <c r="D139" s="10" t="s">
        <v>43</v>
      </c>
      <c r="E139" s="10" t="s">
        <v>375</v>
      </c>
      <c r="G139" s="10" t="s">
        <v>751</v>
      </c>
      <c r="H139" s="10" t="s">
        <v>752</v>
      </c>
      <c r="K139" s="10" t="s">
        <v>48</v>
      </c>
    </row>
    <row r="140" spans="1:12" x14ac:dyDescent="0.2">
      <c r="A140" s="10" t="s">
        <v>753</v>
      </c>
      <c r="B140" s="10" t="s">
        <v>754</v>
      </c>
      <c r="C140" s="10" t="s">
        <v>755</v>
      </c>
      <c r="D140" s="10" t="s">
        <v>43</v>
      </c>
      <c r="E140" s="10" t="s">
        <v>152</v>
      </c>
      <c r="G140" s="10" t="s">
        <v>756</v>
      </c>
      <c r="K140" s="10" t="s">
        <v>48</v>
      </c>
    </row>
    <row r="141" spans="1:12" x14ac:dyDescent="0.2">
      <c r="A141" s="10" t="s">
        <v>757</v>
      </c>
      <c r="B141" s="10" t="s">
        <v>758</v>
      </c>
      <c r="C141" s="10" t="s">
        <v>759</v>
      </c>
      <c r="D141" s="10" t="s">
        <v>43</v>
      </c>
      <c r="E141" s="10" t="s">
        <v>58</v>
      </c>
      <c r="G141" s="10" t="s">
        <v>760</v>
      </c>
      <c r="H141" s="10" t="s">
        <v>761</v>
      </c>
      <c r="I141" s="10" t="s">
        <v>762</v>
      </c>
      <c r="J141" s="10" t="s">
        <v>763</v>
      </c>
      <c r="K141" s="10" t="s">
        <v>48</v>
      </c>
      <c r="L141" s="10" t="s">
        <v>764</v>
      </c>
    </row>
    <row r="142" spans="1:12" ht="187" x14ac:dyDescent="0.2">
      <c r="A142" s="10" t="s">
        <v>765</v>
      </c>
      <c r="B142" s="10" t="s">
        <v>766</v>
      </c>
      <c r="C142" s="10" t="s">
        <v>767</v>
      </c>
      <c r="D142" s="10" t="s">
        <v>43</v>
      </c>
      <c r="E142" s="10" t="s">
        <v>768</v>
      </c>
      <c r="G142" s="10" t="s">
        <v>769</v>
      </c>
      <c r="H142" s="10" t="s">
        <v>770</v>
      </c>
      <c r="I142" s="10" t="s">
        <v>771</v>
      </c>
      <c r="J142" s="11" t="s">
        <v>772</v>
      </c>
      <c r="K142" s="10" t="s">
        <v>48</v>
      </c>
      <c r="L142" s="10" t="s">
        <v>773</v>
      </c>
    </row>
    <row r="143" spans="1:12" x14ac:dyDescent="0.2">
      <c r="A143" s="10" t="s">
        <v>774</v>
      </c>
      <c r="B143" s="10" t="s">
        <v>775</v>
      </c>
      <c r="C143" s="10" t="s">
        <v>776</v>
      </c>
      <c r="D143" s="10" t="s">
        <v>43</v>
      </c>
      <c r="E143" s="10" t="s">
        <v>777</v>
      </c>
      <c r="G143" s="10" t="s">
        <v>778</v>
      </c>
      <c r="H143" s="10" t="s">
        <v>779</v>
      </c>
      <c r="K143" s="10" t="s">
        <v>48</v>
      </c>
      <c r="L143" s="10" t="s">
        <v>773</v>
      </c>
    </row>
    <row r="144" spans="1:12" x14ac:dyDescent="0.2">
      <c r="A144" s="10" t="s">
        <v>780</v>
      </c>
      <c r="B144" s="10" t="s">
        <v>781</v>
      </c>
      <c r="C144" s="10" t="s">
        <v>776</v>
      </c>
      <c r="D144" s="10" t="s">
        <v>43</v>
      </c>
      <c r="E144" s="10" t="s">
        <v>782</v>
      </c>
      <c r="G144" s="10" t="s">
        <v>783</v>
      </c>
      <c r="H144" s="10" t="s">
        <v>784</v>
      </c>
      <c r="K144" s="10" t="s">
        <v>48</v>
      </c>
      <c r="L144" s="10" t="s">
        <v>773</v>
      </c>
    </row>
    <row r="145" spans="1:13" x14ac:dyDescent="0.2">
      <c r="A145" s="10" t="s">
        <v>785</v>
      </c>
      <c r="B145" s="10" t="s">
        <v>786</v>
      </c>
      <c r="C145" s="10" t="s">
        <v>787</v>
      </c>
      <c r="D145" s="10" t="s">
        <v>43</v>
      </c>
      <c r="E145" s="10" t="s">
        <v>788</v>
      </c>
      <c r="G145" s="10" t="s">
        <v>789</v>
      </c>
      <c r="H145" s="10" t="s">
        <v>790</v>
      </c>
      <c r="K145" s="10" t="s">
        <v>48</v>
      </c>
      <c r="L145" s="10" t="s">
        <v>791</v>
      </c>
    </row>
    <row r="146" spans="1:13" x14ac:dyDescent="0.2">
      <c r="A146" s="10" t="s">
        <v>792</v>
      </c>
      <c r="B146" s="10" t="s">
        <v>793</v>
      </c>
      <c r="C146" s="10" t="s">
        <v>794</v>
      </c>
      <c r="D146" s="10" t="s">
        <v>43</v>
      </c>
      <c r="E146" s="10" t="s">
        <v>66</v>
      </c>
      <c r="G146" s="10" t="s">
        <v>795</v>
      </c>
      <c r="H146" s="10" t="s">
        <v>796</v>
      </c>
      <c r="I146" s="10" t="s">
        <v>797</v>
      </c>
      <c r="J146" s="10" t="s">
        <v>798</v>
      </c>
      <c r="K146" s="10" t="s">
        <v>48</v>
      </c>
      <c r="L146" s="10" t="s">
        <v>799</v>
      </c>
    </row>
    <row r="147" spans="1:13" x14ac:dyDescent="0.2">
      <c r="A147" s="10" t="s">
        <v>800</v>
      </c>
      <c r="B147" s="10" t="s">
        <v>801</v>
      </c>
      <c r="C147" s="10" t="s">
        <v>802</v>
      </c>
      <c r="D147" s="10" t="s">
        <v>43</v>
      </c>
      <c r="E147" s="10" t="s">
        <v>66</v>
      </c>
      <c r="G147" s="10" t="s">
        <v>803</v>
      </c>
      <c r="H147" s="10" t="s">
        <v>804</v>
      </c>
      <c r="I147" s="10" t="s">
        <v>805</v>
      </c>
      <c r="J147" s="10" t="s">
        <v>806</v>
      </c>
      <c r="K147" s="10" t="s">
        <v>48</v>
      </c>
      <c r="L147" s="10" t="s">
        <v>791</v>
      </c>
    </row>
    <row r="148" spans="1:13" x14ac:dyDescent="0.2">
      <c r="A148" s="10" t="s">
        <v>807</v>
      </c>
      <c r="B148" s="10" t="s">
        <v>808</v>
      </c>
      <c r="C148" s="10" t="s">
        <v>809</v>
      </c>
      <c r="D148" s="10" t="s">
        <v>43</v>
      </c>
      <c r="E148" s="10" t="s">
        <v>129</v>
      </c>
      <c r="G148" s="10" t="s">
        <v>810</v>
      </c>
      <c r="H148" s="10" t="s">
        <v>811</v>
      </c>
      <c r="I148" s="10" t="s">
        <v>812</v>
      </c>
      <c r="J148" s="10" t="s">
        <v>813</v>
      </c>
      <c r="K148" s="10" t="s">
        <v>48</v>
      </c>
      <c r="L148" s="10" t="s">
        <v>773</v>
      </c>
    </row>
    <row r="149" spans="1:13" x14ac:dyDescent="0.2">
      <c r="A149" s="10" t="s">
        <v>814</v>
      </c>
      <c r="B149" s="10" t="s">
        <v>815</v>
      </c>
      <c r="C149" s="10" t="s">
        <v>171</v>
      </c>
      <c r="D149" s="10" t="s">
        <v>43</v>
      </c>
      <c r="E149" s="10" t="s">
        <v>58</v>
      </c>
      <c r="G149" s="10" t="s">
        <v>816</v>
      </c>
      <c r="H149" s="10" t="s">
        <v>817</v>
      </c>
      <c r="I149" s="10" t="s">
        <v>818</v>
      </c>
      <c r="J149" s="10" t="s">
        <v>819</v>
      </c>
      <c r="K149" s="10" t="s">
        <v>48</v>
      </c>
      <c r="L149" s="10" t="s">
        <v>791</v>
      </c>
    </row>
    <row r="150" spans="1:13" x14ac:dyDescent="0.2">
      <c r="A150" s="10" t="s">
        <v>820</v>
      </c>
      <c r="B150" s="10" t="s">
        <v>821</v>
      </c>
      <c r="C150" s="10" t="s">
        <v>822</v>
      </c>
      <c r="D150" s="10" t="s">
        <v>43</v>
      </c>
      <c r="E150" s="10" t="s">
        <v>58</v>
      </c>
      <c r="G150" s="10" t="s">
        <v>823</v>
      </c>
      <c r="H150" s="10" t="s">
        <v>824</v>
      </c>
      <c r="I150" s="10" t="s">
        <v>825</v>
      </c>
      <c r="J150" s="10" t="s">
        <v>826</v>
      </c>
      <c r="K150" s="10" t="s">
        <v>48</v>
      </c>
      <c r="L150" s="10" t="s">
        <v>773</v>
      </c>
    </row>
    <row r="151" spans="1:13" x14ac:dyDescent="0.2">
      <c r="A151" s="10" t="s">
        <v>827</v>
      </c>
      <c r="B151" s="10" t="s">
        <v>828</v>
      </c>
      <c r="C151" s="10" t="s">
        <v>829</v>
      </c>
      <c r="D151" s="10" t="s">
        <v>43</v>
      </c>
      <c r="E151" s="10" t="s">
        <v>129</v>
      </c>
      <c r="G151" s="10" t="s">
        <v>830</v>
      </c>
      <c r="H151" s="10" t="s">
        <v>831</v>
      </c>
      <c r="I151" s="10" t="s">
        <v>832</v>
      </c>
      <c r="J151" s="10" t="s">
        <v>833</v>
      </c>
      <c r="K151" s="10" t="s">
        <v>48</v>
      </c>
      <c r="L151" s="10" t="s">
        <v>764</v>
      </c>
    </row>
    <row r="152" spans="1:13" x14ac:dyDescent="0.2">
      <c r="A152" s="10" t="s">
        <v>834</v>
      </c>
      <c r="B152" s="10" t="s">
        <v>835</v>
      </c>
      <c r="C152" s="10" t="s">
        <v>836</v>
      </c>
      <c r="D152" s="10" t="s">
        <v>43</v>
      </c>
      <c r="E152" s="10" t="s">
        <v>129</v>
      </c>
      <c r="G152" s="10" t="s">
        <v>837</v>
      </c>
      <c r="H152" s="10" t="s">
        <v>838</v>
      </c>
      <c r="I152" s="10" t="s">
        <v>839</v>
      </c>
      <c r="J152" s="10" t="s">
        <v>840</v>
      </c>
      <c r="K152" s="10" t="s">
        <v>48</v>
      </c>
      <c r="L152" s="10" t="s">
        <v>841</v>
      </c>
    </row>
    <row r="153" spans="1:13" ht="51" x14ac:dyDescent="0.2">
      <c r="A153" s="10" t="s">
        <v>842</v>
      </c>
      <c r="B153" s="10" t="s">
        <v>843</v>
      </c>
      <c r="C153" s="11" t="s">
        <v>844</v>
      </c>
      <c r="D153" s="10" t="s">
        <v>43</v>
      </c>
      <c r="E153" s="10" t="s">
        <v>44</v>
      </c>
      <c r="G153" s="10" t="s">
        <v>845</v>
      </c>
      <c r="H153" s="10" t="s">
        <v>846</v>
      </c>
      <c r="I153" s="10" t="s">
        <v>847</v>
      </c>
      <c r="J153" s="10" t="s">
        <v>848</v>
      </c>
      <c r="K153" s="10" t="s">
        <v>48</v>
      </c>
      <c r="L153" s="10" t="s">
        <v>849</v>
      </c>
    </row>
    <row r="154" spans="1:13" ht="136" x14ac:dyDescent="0.2">
      <c r="A154" s="10" t="s">
        <v>21</v>
      </c>
      <c r="B154" s="10" t="s">
        <v>850</v>
      </c>
      <c r="C154" s="10" t="s">
        <v>851</v>
      </c>
      <c r="D154" s="10" t="s">
        <v>43</v>
      </c>
      <c r="E154" s="10" t="s">
        <v>289</v>
      </c>
      <c r="G154" s="11" t="s">
        <v>852</v>
      </c>
      <c r="H154" s="11" t="s">
        <v>853</v>
      </c>
      <c r="I154" s="10" t="s">
        <v>854</v>
      </c>
      <c r="J154" s="10" t="s">
        <v>855</v>
      </c>
      <c r="K154" s="10" t="s">
        <v>48</v>
      </c>
      <c r="L154" s="10" t="s">
        <v>841</v>
      </c>
    </row>
    <row r="155" spans="1:13" x14ac:dyDescent="0.2">
      <c r="A155" s="10" t="s">
        <v>856</v>
      </c>
    </row>
    <row r="156" spans="1:13" x14ac:dyDescent="0.2">
      <c r="A156" s="10" t="s">
        <v>857</v>
      </c>
      <c r="B156" s="10" t="s">
        <v>858</v>
      </c>
      <c r="C156" s="10" t="s">
        <v>859</v>
      </c>
      <c r="D156" s="10" t="s">
        <v>43</v>
      </c>
      <c r="E156" s="10" t="s">
        <v>860</v>
      </c>
      <c r="G156" s="10" t="s">
        <v>861</v>
      </c>
      <c r="H156" s="10" t="s">
        <v>862</v>
      </c>
      <c r="I156" s="10" t="s">
        <v>863</v>
      </c>
      <c r="J156" s="10" t="s">
        <v>864</v>
      </c>
      <c r="K156" s="10" t="s">
        <v>48</v>
      </c>
      <c r="L156" s="10" t="s">
        <v>865</v>
      </c>
    </row>
    <row r="157" spans="1:13" x14ac:dyDescent="0.2">
      <c r="A157" s="10" t="s">
        <v>866</v>
      </c>
      <c r="B157" s="10" t="s">
        <v>867</v>
      </c>
      <c r="C157" s="10" t="s">
        <v>868</v>
      </c>
      <c r="D157" s="10" t="s">
        <v>43</v>
      </c>
      <c r="E157" s="10" t="s">
        <v>869</v>
      </c>
      <c r="G157" s="10" t="s">
        <v>870</v>
      </c>
      <c r="H157" s="10" t="s">
        <v>871</v>
      </c>
      <c r="I157" s="10" t="s">
        <v>872</v>
      </c>
      <c r="K157" s="10" t="s">
        <v>48</v>
      </c>
      <c r="L157" s="10" t="s">
        <v>865</v>
      </c>
    </row>
    <row r="158" spans="1:13" x14ac:dyDescent="0.2">
      <c r="A158" s="10" t="s">
        <v>873</v>
      </c>
      <c r="B158" s="10" t="s">
        <v>874</v>
      </c>
      <c r="C158" s="10" t="s">
        <v>875</v>
      </c>
      <c r="D158" s="10" t="s">
        <v>43</v>
      </c>
      <c r="E158" s="10" t="s">
        <v>782</v>
      </c>
      <c r="G158" s="10" t="s">
        <v>876</v>
      </c>
      <c r="H158" s="10" t="s">
        <v>877</v>
      </c>
      <c r="I158" s="10" t="s">
        <v>878</v>
      </c>
      <c r="K158" s="10" t="s">
        <v>48</v>
      </c>
      <c r="L158" s="10" t="s">
        <v>865</v>
      </c>
    </row>
    <row r="159" spans="1:13" x14ac:dyDescent="0.2">
      <c r="A159" s="10" t="s">
        <v>879</v>
      </c>
      <c r="B159" s="10" t="s">
        <v>880</v>
      </c>
      <c r="C159" s="10" t="s">
        <v>881</v>
      </c>
      <c r="D159" s="10" t="s">
        <v>43</v>
      </c>
      <c r="E159" s="10" t="s">
        <v>782</v>
      </c>
      <c r="G159" s="10" t="s">
        <v>882</v>
      </c>
      <c r="H159" s="10" t="s">
        <v>883</v>
      </c>
      <c r="I159" s="10" t="s">
        <v>884</v>
      </c>
      <c r="J159" s="10" t="s">
        <v>885</v>
      </c>
      <c r="K159" s="10" t="s">
        <v>48</v>
      </c>
      <c r="L159" s="10" t="s">
        <v>773</v>
      </c>
      <c r="M159" s="10" t="s">
        <v>886</v>
      </c>
    </row>
    <row r="160" spans="1:13" x14ac:dyDescent="0.2">
      <c r="A160" s="10" t="s">
        <v>887</v>
      </c>
      <c r="B160" s="10" t="s">
        <v>888</v>
      </c>
      <c r="C160" s="10" t="s">
        <v>889</v>
      </c>
      <c r="D160" s="10" t="s">
        <v>43</v>
      </c>
      <c r="E160" s="10" t="s">
        <v>44</v>
      </c>
      <c r="G160" s="10" t="s">
        <v>890</v>
      </c>
      <c r="H160" s="10" t="s">
        <v>891</v>
      </c>
      <c r="I160" s="10" t="s">
        <v>892</v>
      </c>
      <c r="J160" s="10" t="s">
        <v>893</v>
      </c>
      <c r="K160" s="10" t="s">
        <v>48</v>
      </c>
      <c r="L160" s="10" t="s">
        <v>894</v>
      </c>
      <c r="M160" s="10" t="s">
        <v>895</v>
      </c>
    </row>
    <row r="161" spans="1:13" x14ac:dyDescent="0.2">
      <c r="A161" s="10" t="s">
        <v>896</v>
      </c>
      <c r="B161" s="10" t="s">
        <v>897</v>
      </c>
      <c r="C161" s="10" t="s">
        <v>898</v>
      </c>
      <c r="D161" s="10" t="s">
        <v>43</v>
      </c>
      <c r="E161" s="10" t="s">
        <v>460</v>
      </c>
      <c r="G161" s="10" t="s">
        <v>899</v>
      </c>
      <c r="H161" s="10" t="s">
        <v>900</v>
      </c>
      <c r="I161" s="10" t="s">
        <v>901</v>
      </c>
      <c r="J161" s="10" t="s">
        <v>902</v>
      </c>
      <c r="K161" s="10" t="s">
        <v>48</v>
      </c>
      <c r="L161" s="10" t="s">
        <v>791</v>
      </c>
      <c r="M161" s="10" t="s">
        <v>903</v>
      </c>
    </row>
    <row r="162" spans="1:13" x14ac:dyDescent="0.2">
      <c r="A162" s="10" t="s">
        <v>904</v>
      </c>
      <c r="B162" s="10" t="s">
        <v>905</v>
      </c>
      <c r="C162" s="10" t="s">
        <v>906</v>
      </c>
      <c r="D162" s="10" t="s">
        <v>43</v>
      </c>
      <c r="E162" s="10" t="s">
        <v>907</v>
      </c>
      <c r="G162" s="10" t="s">
        <v>908</v>
      </c>
      <c r="H162" s="10" t="s">
        <v>909</v>
      </c>
      <c r="I162" s="10" t="s">
        <v>910</v>
      </c>
      <c r="J162" s="10" t="s">
        <v>911</v>
      </c>
      <c r="K162" s="10" t="s">
        <v>48</v>
      </c>
      <c r="L162" s="10" t="s">
        <v>865</v>
      </c>
      <c r="M162" s="10" t="s">
        <v>912</v>
      </c>
    </row>
    <row r="163" spans="1:13" x14ac:dyDescent="0.2">
      <c r="A163" s="10" t="s">
        <v>913</v>
      </c>
      <c r="B163" s="10" t="s">
        <v>914</v>
      </c>
      <c r="C163" s="10" t="s">
        <v>915</v>
      </c>
      <c r="D163" s="10" t="s">
        <v>43</v>
      </c>
      <c r="E163" s="10" t="s">
        <v>916</v>
      </c>
      <c r="G163" s="10" t="s">
        <v>783</v>
      </c>
      <c r="H163" s="10" t="s">
        <v>784</v>
      </c>
      <c r="I163" s="10" t="s">
        <v>917</v>
      </c>
      <c r="J163" s="10" t="s">
        <v>918</v>
      </c>
      <c r="K163" s="10" t="s">
        <v>48</v>
      </c>
      <c r="L163" s="10" t="s">
        <v>773</v>
      </c>
      <c r="M163" s="10" t="s">
        <v>919</v>
      </c>
    </row>
    <row r="164" spans="1:13" ht="170" x14ac:dyDescent="0.2">
      <c r="A164" s="10" t="s">
        <v>920</v>
      </c>
      <c r="B164" s="10" t="s">
        <v>921</v>
      </c>
      <c r="C164" s="10" t="s">
        <v>315</v>
      </c>
      <c r="D164" s="10" t="s">
        <v>43</v>
      </c>
      <c r="E164" s="10" t="s">
        <v>922</v>
      </c>
      <c r="G164" s="10" t="s">
        <v>923</v>
      </c>
      <c r="H164" s="10" t="s">
        <v>924</v>
      </c>
      <c r="I164" s="10" t="s">
        <v>925</v>
      </c>
      <c r="J164" s="10" t="s">
        <v>926</v>
      </c>
      <c r="K164" s="10" t="s">
        <v>48</v>
      </c>
      <c r="L164" s="10" t="s">
        <v>865</v>
      </c>
      <c r="M164" s="11" t="s">
        <v>927</v>
      </c>
    </row>
    <row r="165" spans="1:13" ht="153" x14ac:dyDescent="0.2">
      <c r="A165" s="10" t="s">
        <v>928</v>
      </c>
      <c r="B165" s="10" t="s">
        <v>929</v>
      </c>
      <c r="C165" s="10" t="s">
        <v>930</v>
      </c>
      <c r="D165" s="10" t="s">
        <v>43</v>
      </c>
      <c r="E165" s="10" t="s">
        <v>129</v>
      </c>
      <c r="G165" s="11" t="s">
        <v>931</v>
      </c>
      <c r="H165" s="10" t="s">
        <v>932</v>
      </c>
      <c r="I165" s="11" t="s">
        <v>933</v>
      </c>
      <c r="J165" s="10" t="s">
        <v>934</v>
      </c>
      <c r="K165" s="10" t="s">
        <v>48</v>
      </c>
      <c r="L165" s="10" t="s">
        <v>894</v>
      </c>
      <c r="M165" s="10" t="s">
        <v>935</v>
      </c>
    </row>
    <row r="166" spans="1:13" x14ac:dyDescent="0.2">
      <c r="A166" s="10" t="s">
        <v>936</v>
      </c>
      <c r="B166" s="10" t="s">
        <v>937</v>
      </c>
      <c r="C166" s="10" t="s">
        <v>938</v>
      </c>
      <c r="D166" s="10" t="s">
        <v>43</v>
      </c>
      <c r="E166" s="10" t="s">
        <v>554</v>
      </c>
      <c r="G166" s="10" t="s">
        <v>939</v>
      </c>
      <c r="I166" s="10" t="s">
        <v>940</v>
      </c>
      <c r="J166" s="10" t="s">
        <v>941</v>
      </c>
      <c r="K166" s="10" t="s">
        <v>48</v>
      </c>
      <c r="M166" s="10" t="s">
        <v>942</v>
      </c>
    </row>
    <row r="167" spans="1:13" x14ac:dyDescent="0.2">
      <c r="A167" s="10" t="s">
        <v>943</v>
      </c>
      <c r="D167" s="10" t="s">
        <v>43</v>
      </c>
    </row>
    <row r="168" spans="1:13" ht="68" x14ac:dyDescent="0.2">
      <c r="A168" s="10" t="s">
        <v>944</v>
      </c>
      <c r="B168" s="10" t="s">
        <v>945</v>
      </c>
      <c r="C168" s="11" t="s">
        <v>946</v>
      </c>
      <c r="D168" s="10" t="s">
        <v>43</v>
      </c>
      <c r="E168" s="10" t="s">
        <v>58</v>
      </c>
      <c r="G168" s="10" t="s">
        <v>947</v>
      </c>
      <c r="H168" s="10" t="s">
        <v>948</v>
      </c>
      <c r="I168" s="10" t="s">
        <v>949</v>
      </c>
      <c r="J168" s="10" t="s">
        <v>950</v>
      </c>
      <c r="K168" s="10" t="s">
        <v>48</v>
      </c>
      <c r="L168" s="10" t="s">
        <v>951</v>
      </c>
      <c r="M168" s="10" t="s">
        <v>952</v>
      </c>
    </row>
    <row r="169" spans="1:13" x14ac:dyDescent="0.2">
      <c r="A169" s="10" t="s">
        <v>953</v>
      </c>
      <c r="B169" s="10" t="s">
        <v>954</v>
      </c>
      <c r="C169" s="10" t="s">
        <v>955</v>
      </c>
      <c r="D169" s="10" t="s">
        <v>43</v>
      </c>
      <c r="E169" s="10" t="s">
        <v>375</v>
      </c>
      <c r="F169" s="10" t="s">
        <v>67</v>
      </c>
      <c r="G169" s="10" t="s">
        <v>956</v>
      </c>
      <c r="H169" s="10" t="s">
        <v>957</v>
      </c>
      <c r="I169" s="10" t="s">
        <v>958</v>
      </c>
      <c r="J169" s="10" t="s">
        <v>959</v>
      </c>
      <c r="K169" s="10" t="s">
        <v>48</v>
      </c>
      <c r="M169" s="10" t="s">
        <v>960</v>
      </c>
    </row>
    <row r="170" spans="1:13" ht="323" x14ac:dyDescent="0.2">
      <c r="A170" s="10" t="s">
        <v>961</v>
      </c>
      <c r="B170" s="10" t="s">
        <v>962</v>
      </c>
      <c r="D170" s="10" t="s">
        <v>43</v>
      </c>
      <c r="K170" s="10" t="s">
        <v>48</v>
      </c>
      <c r="L170" s="10" t="s">
        <v>951</v>
      </c>
      <c r="M170" s="11" t="s">
        <v>963</v>
      </c>
    </row>
    <row r="171" spans="1:13" x14ac:dyDescent="0.2">
      <c r="A171" s="10" t="s">
        <v>964</v>
      </c>
      <c r="B171" s="10" t="s">
        <v>965</v>
      </c>
      <c r="C171" s="10" t="s">
        <v>966</v>
      </c>
      <c r="D171" s="10" t="s">
        <v>43</v>
      </c>
      <c r="E171" s="10" t="s">
        <v>66</v>
      </c>
      <c r="F171" s="10" t="s">
        <v>67</v>
      </c>
      <c r="G171" s="10" t="s">
        <v>967</v>
      </c>
      <c r="H171" s="10" t="s">
        <v>968</v>
      </c>
      <c r="I171" s="10" t="s">
        <v>969</v>
      </c>
      <c r="J171" s="10" t="s">
        <v>970</v>
      </c>
      <c r="K171" s="10" t="s">
        <v>48</v>
      </c>
      <c r="M171" s="10" t="s">
        <v>971</v>
      </c>
    </row>
    <row r="172" spans="1:13" x14ac:dyDescent="0.2">
      <c r="A172" s="10" t="s">
        <v>972</v>
      </c>
      <c r="B172" s="10" t="s">
        <v>973</v>
      </c>
      <c r="C172" s="10" t="s">
        <v>973</v>
      </c>
    </row>
    <row r="173" spans="1:13" x14ac:dyDescent="0.2">
      <c r="A173" s="10" t="s">
        <v>974</v>
      </c>
      <c r="B173" s="10" t="s">
        <v>975</v>
      </c>
      <c r="C173" s="10" t="s">
        <v>975</v>
      </c>
    </row>
    <row r="174" spans="1:13" x14ac:dyDescent="0.2">
      <c r="A174" s="10" t="s">
        <v>976</v>
      </c>
      <c r="B174" s="10" t="s">
        <v>977</v>
      </c>
      <c r="C174" s="10" t="s">
        <v>977</v>
      </c>
    </row>
    <row r="175" spans="1:13" x14ac:dyDescent="0.2">
      <c r="A175" s="10" t="s">
        <v>12</v>
      </c>
      <c r="B175" s="10" t="s">
        <v>978</v>
      </c>
      <c r="C175" s="10" t="s">
        <v>978</v>
      </c>
      <c r="F175" s="10" t="s">
        <v>979</v>
      </c>
    </row>
    <row r="176" spans="1:13" x14ac:dyDescent="0.2">
      <c r="A176" s="10" t="s">
        <v>15</v>
      </c>
      <c r="B176" s="10" t="s">
        <v>16</v>
      </c>
      <c r="C176" s="10" t="s">
        <v>16</v>
      </c>
      <c r="F176" s="10" t="s">
        <v>979</v>
      </c>
    </row>
    <row r="177" spans="1:13" x14ac:dyDescent="0.2">
      <c r="A177" s="10" t="s">
        <v>17</v>
      </c>
      <c r="B177" s="10" t="s">
        <v>980</v>
      </c>
      <c r="C177" s="10" t="s">
        <v>980</v>
      </c>
    </row>
    <row r="178" spans="1:13" x14ac:dyDescent="0.2">
      <c r="A178" s="10" t="s">
        <v>981</v>
      </c>
      <c r="B178" s="10" t="s">
        <v>982</v>
      </c>
      <c r="C178" s="10" t="s">
        <v>982</v>
      </c>
    </row>
    <row r="179" spans="1:13" x14ac:dyDescent="0.2">
      <c r="A179" s="10" t="s">
        <v>983</v>
      </c>
      <c r="B179" s="10" t="s">
        <v>984</v>
      </c>
      <c r="C179" s="10" t="s">
        <v>984</v>
      </c>
    </row>
    <row r="180" spans="1:13" x14ac:dyDescent="0.2">
      <c r="A180" s="10" t="s">
        <v>985</v>
      </c>
      <c r="B180" s="10" t="s">
        <v>986</v>
      </c>
      <c r="C180" s="10" t="s">
        <v>986</v>
      </c>
      <c r="D180" s="10" t="s">
        <v>43</v>
      </c>
      <c r="F180" s="10" t="s">
        <v>987</v>
      </c>
      <c r="G180" s="10" t="s">
        <v>988</v>
      </c>
      <c r="H180" s="10" t="s">
        <v>989</v>
      </c>
    </row>
    <row r="181" spans="1:13" x14ac:dyDescent="0.2">
      <c r="A181" s="10" t="s">
        <v>990</v>
      </c>
      <c r="B181" s="10" t="s">
        <v>991</v>
      </c>
      <c r="C181" s="10" t="s">
        <v>992</v>
      </c>
      <c r="D181" s="10" t="s">
        <v>43</v>
      </c>
      <c r="E181" s="10" t="s">
        <v>268</v>
      </c>
      <c r="F181" s="10" t="s">
        <v>67</v>
      </c>
      <c r="G181" s="10" t="s">
        <v>993</v>
      </c>
      <c r="H181" s="10" t="s">
        <v>994</v>
      </c>
      <c r="I181" s="10" t="s">
        <v>995</v>
      </c>
      <c r="K181" s="10" t="s">
        <v>48</v>
      </c>
      <c r="M181" s="10" t="s">
        <v>996</v>
      </c>
    </row>
    <row r="182" spans="1:13" x14ac:dyDescent="0.2">
      <c r="A182" s="10" t="s">
        <v>19</v>
      </c>
      <c r="B182" s="10" t="s">
        <v>997</v>
      </c>
      <c r="C182" s="10" t="s">
        <v>997</v>
      </c>
      <c r="D182" s="10" t="s">
        <v>43</v>
      </c>
    </row>
    <row r="183" spans="1:13" x14ac:dyDescent="0.2">
      <c r="A183" s="10" t="s">
        <v>998</v>
      </c>
      <c r="B183" s="10" t="s">
        <v>999</v>
      </c>
      <c r="C183" s="10" t="s">
        <v>1000</v>
      </c>
      <c r="D183" s="10" t="s">
        <v>43</v>
      </c>
      <c r="E183" s="10" t="s">
        <v>375</v>
      </c>
      <c r="F183" s="10" t="s">
        <v>67</v>
      </c>
      <c r="G183" s="10" t="s">
        <v>1001</v>
      </c>
      <c r="H183" s="10" t="s">
        <v>1002</v>
      </c>
      <c r="I183" s="10" t="s">
        <v>1003</v>
      </c>
      <c r="K183" s="10" t="s">
        <v>48</v>
      </c>
      <c r="M183" s="10" t="s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I110.12 NORTH</vt:lpstr>
      <vt:lpstr>Suppliers_List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2025-11-06T14:58:24Z</dcterms:modified>
</cp:coreProperties>
</file>